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slicers/slicer1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julinha002\Downloads\Desafio Dasboard Excel Github\"/>
    </mc:Choice>
  </mc:AlternateContent>
  <xr:revisionPtr revIDLastSave="0" documentId="13_ncr:1_{9F7A425B-2049-4644-B1BB-5DFBCA084932}" xr6:coauthVersionLast="47" xr6:coauthVersionMax="47" xr10:uidLastSave="{00000000-0000-0000-0000-000000000000}"/>
  <workbookProtection workbookAlgorithmName="SHA-512" workbookHashValue="hYCYuA+FzBdDPKTDhQ7ndtkwYjuszLTtT1Mno2+wl/7uWloSfai9Jo2iEiUYYeLk388y0pB7hl9weMwxsTUIlA==" workbookSaltValue="wxlo+PHIcWHmr28vc1jlxQ==" workbookSpinCount="100000" lockStructure="1"/>
  <bookViews>
    <workbookView xWindow="-108" yWindow="-108" windowWidth="23256" windowHeight="12456" tabRatio="569" xr2:uid="{00000000-000D-0000-FFFF-FFFF00000000}"/>
  </bookViews>
  <sheets>
    <sheet name="Menu" sheetId="8" r:id="rId1"/>
    <sheet name="Assets" sheetId="6" state="hidden" r:id="rId2"/>
    <sheet name="Bases_tbl_xbox" sheetId="5" state="hidden" r:id="rId3"/>
    <sheet name="Calculos" sheetId="3" state="hidden" r:id="rId4"/>
    <sheet name="Dashboard" sheetId="4" r:id="rId5"/>
    <sheet name="Senha" sheetId="7" state="hidden" r:id="rId6"/>
  </sheets>
  <definedNames>
    <definedName name="_xlnm._FilterDatabase" localSheetId="5" hidden="1">Senha!$A$1:$C$3</definedName>
    <definedName name="SegmentaçãodeDados_Subscription_Type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37" i="3" l="1"/>
  <c r="F3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DB95EC0-2D93-4032-8865-6040006B738F}" keepAlive="1" name="Consulta - Tabela1" description="Conexão com a consulta 'Tabela1' na pasta de trabalho." type="5" refreshedVersion="0" background="1">
    <dbPr connection="Provider=Microsoft.Mashup.OleDb.1;Data Source=$Workbook$;Location=Tabela1;Extended Properties=&quot;&quot;" command="SELECT * FROM [Tabela1]"/>
  </connection>
</connections>
</file>

<file path=xl/sharedStrings.xml><?xml version="1.0" encoding="utf-8"?>
<sst xmlns="http://schemas.openxmlformats.org/spreadsheetml/2006/main" count="2151" uniqueCount="642">
  <si>
    <t>Subscriber ID</t>
  </si>
  <si>
    <t>Name</t>
  </si>
  <si>
    <t>Plan</t>
  </si>
  <si>
    <t>Start Date</t>
  </si>
  <si>
    <t>Auto Renewal</t>
  </si>
  <si>
    <t>Subscription Price</t>
  </si>
  <si>
    <t>Subscription Type</t>
  </si>
  <si>
    <t>EA Play Season Pass</t>
  </si>
  <si>
    <t>EA Play Season Pass
Price</t>
  </si>
  <si>
    <t>Minecraft Season Pass</t>
  </si>
  <si>
    <t>Minecraft Season Pass Price</t>
  </si>
  <si>
    <t>Coupon Value</t>
  </si>
  <si>
    <t>Total Value</t>
  </si>
  <si>
    <t>3231</t>
  </si>
  <si>
    <t>João Silva</t>
  </si>
  <si>
    <t>Ultimate</t>
  </si>
  <si>
    <t>Yes</t>
  </si>
  <si>
    <t>Monthly</t>
  </si>
  <si>
    <t>3232</t>
  </si>
  <si>
    <t>Maria Oliveira</t>
  </si>
  <si>
    <t>Core</t>
  </si>
  <si>
    <t>No</t>
  </si>
  <si>
    <t>Annual</t>
  </si>
  <si>
    <t>3233</t>
  </si>
  <si>
    <t>Lucas Fernandes</t>
  </si>
  <si>
    <t>Standard</t>
  </si>
  <si>
    <t>Quarterly</t>
  </si>
  <si>
    <t>3234</t>
  </si>
  <si>
    <t>Ana Souza</t>
  </si>
  <si>
    <t>3235</t>
  </si>
  <si>
    <t>Pedro Gonçalves</t>
  </si>
  <si>
    <t>3236</t>
  </si>
  <si>
    <t>Felipe Costa</t>
  </si>
  <si>
    <t>3237</t>
  </si>
  <si>
    <t>Camila Ribeiro</t>
  </si>
  <si>
    <t>3238</t>
  </si>
  <si>
    <t>André Mendes</t>
  </si>
  <si>
    <t>3239</t>
  </si>
  <si>
    <t>Sofia Almeida</t>
  </si>
  <si>
    <t>3240</t>
  </si>
  <si>
    <t>Bruno Martins</t>
  </si>
  <si>
    <t>3241</t>
  </si>
  <si>
    <t>Rita Castro</t>
  </si>
  <si>
    <t>3242</t>
  </si>
  <si>
    <t>Marco Túlio</t>
  </si>
  <si>
    <t>3243</t>
  </si>
  <si>
    <t>Lívia Silveira</t>
  </si>
  <si>
    <t>3244</t>
  </si>
  <si>
    <t>Diogo Sousa</t>
  </si>
  <si>
    <t>3245</t>
  </si>
  <si>
    <t>Fernanda Lima</t>
  </si>
  <si>
    <t>3246</t>
  </si>
  <si>
    <t>Caio Pereira</t>
  </si>
  <si>
    <t>3247</t>
  </si>
  <si>
    <t>Beatriz Gomes</t>
  </si>
  <si>
    <t>3248</t>
  </si>
  <si>
    <t>Cesar Oliveira</t>
  </si>
  <si>
    <t>3249</t>
  </si>
  <si>
    <t>Débora Machado</t>
  </si>
  <si>
    <t>3250</t>
  </si>
  <si>
    <t>Eduardo Vargas</t>
  </si>
  <si>
    <t>3251</t>
  </si>
  <si>
    <t>Gabriela Santos</t>
  </si>
  <si>
    <t>3252</t>
  </si>
  <si>
    <t>Henrique Dias</t>
  </si>
  <si>
    <t>3253</t>
  </si>
  <si>
    <t>Isabela Moreira</t>
  </si>
  <si>
    <t>3254</t>
  </si>
  <si>
    <t>Joaquim Barbosa</t>
  </si>
  <si>
    <t>3255</t>
  </si>
  <si>
    <t>Lara Rocha</t>
  </si>
  <si>
    <t>3256</t>
  </si>
  <si>
    <t>Matheus Silva</t>
  </si>
  <si>
    <t>3257</t>
  </si>
  <si>
    <t>Nicole Costa</t>
  </si>
  <si>
    <t>3258</t>
  </si>
  <si>
    <t>Otávio Mendonça</t>
  </si>
  <si>
    <t>3259</t>
  </si>
  <si>
    <t>Paula Ferreira</t>
  </si>
  <si>
    <t>3260</t>
  </si>
  <si>
    <t>Raquel Alves</t>
  </si>
  <si>
    <t>3261</t>
  </si>
  <si>
    <t>Samuel Pires</t>
  </si>
  <si>
    <t>3262</t>
  </si>
  <si>
    <t>Tânia Barros</t>
  </si>
  <si>
    <t>3263</t>
  </si>
  <si>
    <t>Vinicius Lima</t>
  </si>
  <si>
    <t>3264</t>
  </si>
  <si>
    <t>Yasmin Teixeira</t>
  </si>
  <si>
    <t>3265</t>
  </si>
  <si>
    <t>Zé Carlos</t>
  </si>
  <si>
    <t>3266</t>
  </si>
  <si>
    <t>Amanda Nogueira</t>
  </si>
  <si>
    <t>3267</t>
  </si>
  <si>
    <t>Bruno Cavalheiro</t>
  </si>
  <si>
    <t>3268</t>
  </si>
  <si>
    <t>Carla Dias</t>
  </si>
  <si>
    <t>3269</t>
  </si>
  <si>
    <t>Diego Fontes</t>
  </si>
  <si>
    <t>3270</t>
  </si>
  <si>
    <t>Eunice Lima</t>
  </si>
  <si>
    <t>3271</t>
  </si>
  <si>
    <t>Fábio Martins</t>
  </si>
  <si>
    <t>3272</t>
  </si>
  <si>
    <t>Gisele Araújo</t>
  </si>
  <si>
    <t>3273</t>
  </si>
  <si>
    <t>Hélio Castro</t>
  </si>
  <si>
    <t>3274</t>
  </si>
  <si>
    <t>Ingrid Menezes</t>
  </si>
  <si>
    <t>3275</t>
  </si>
  <si>
    <t>Jorge Baptista</t>
  </si>
  <si>
    <t>3276</t>
  </si>
  <si>
    <t>Kléber Oliveira</t>
  </si>
  <si>
    <t>3277</t>
  </si>
  <si>
    <t>Luciana Freitas</t>
  </si>
  <si>
    <t>3278</t>
  </si>
  <si>
    <t>Márcia Eller</t>
  </si>
  <si>
    <t>3279</t>
  </si>
  <si>
    <t>Nilo Peçanha</t>
  </si>
  <si>
    <t>3280</t>
  </si>
  <si>
    <t>Oscar Neves</t>
  </si>
  <si>
    <t>3281</t>
  </si>
  <si>
    <t>Patrícia Soares</t>
  </si>
  <si>
    <t>3282</t>
  </si>
  <si>
    <t>Quirino Gonçalves</t>
  </si>
  <si>
    <t>3283</t>
  </si>
  <si>
    <t>Raul Machado</t>
  </si>
  <si>
    <t>3284</t>
  </si>
  <si>
    <t>Sônia Lobo</t>
  </si>
  <si>
    <t>3285</t>
  </si>
  <si>
    <t>Tiago Ramos</t>
  </si>
  <si>
    <t>3286</t>
  </si>
  <si>
    <t>Ugo Pires</t>
  </si>
  <si>
    <t>3287</t>
  </si>
  <si>
    <t>Valéria Nobre</t>
  </si>
  <si>
    <t>3288</t>
  </si>
  <si>
    <t>William Siqueira</t>
  </si>
  <si>
    <t>3289</t>
  </si>
  <si>
    <t>Xuxa Meneghel</t>
  </si>
  <si>
    <t>3290</t>
  </si>
  <si>
    <t>Yara Figueiredo</t>
  </si>
  <si>
    <t>3291</t>
  </si>
  <si>
    <t>Zacarias Alves</t>
  </si>
  <si>
    <t>3292</t>
  </si>
  <si>
    <t>Amanda Bynes</t>
  </si>
  <si>
    <t>3293</t>
  </si>
  <si>
    <t>Bruno Mars</t>
  </si>
  <si>
    <t>3294</t>
  </si>
  <si>
    <t>Carla Bruni</t>
  </si>
  <si>
    <t>3295</t>
  </si>
  <si>
    <t>Diego Maradona</t>
  </si>
  <si>
    <t>3296</t>
  </si>
  <si>
    <t>Estela Marques</t>
  </si>
  <si>
    <t>3297</t>
  </si>
  <si>
    <t>Fábio Nobre</t>
  </si>
  <si>
    <t>3298</t>
  </si>
  <si>
    <t>Gabriel Oliveira</t>
  </si>
  <si>
    <t>3299</t>
  </si>
  <si>
    <t>Helena Santos</t>
  </si>
  <si>
    <t>3300</t>
  </si>
  <si>
    <t>Ivan Carvalho</t>
  </si>
  <si>
    <t>3301</t>
  </si>
  <si>
    <t>Júlia Ferreira</t>
  </si>
  <si>
    <t>3302</t>
  </si>
  <si>
    <t>Karla Alves</t>
  </si>
  <si>
    <t>3303</t>
  </si>
  <si>
    <t>Lucas Mendes</t>
  </si>
  <si>
    <t>3304</t>
  </si>
  <si>
    <t>Mônica Gomes</t>
  </si>
  <si>
    <t>3305</t>
  </si>
  <si>
    <t>Norberto Queiroz</t>
  </si>
  <si>
    <t>3306</t>
  </si>
  <si>
    <t>Otávio Barros</t>
  </si>
  <si>
    <t>3307</t>
  </si>
  <si>
    <t>Paula Vieira</t>
  </si>
  <si>
    <t>3308</t>
  </si>
  <si>
    <t>Quentin Ramos</t>
  </si>
  <si>
    <t>3309</t>
  </si>
  <si>
    <t>Raquel Novaes</t>
  </si>
  <si>
    <t>3310</t>
  </si>
  <si>
    <t>Samantha Lopes</t>
  </si>
  <si>
    <t>3311</t>
  </si>
  <si>
    <t>Tiago Martins</t>
  </si>
  <si>
    <t>3312</t>
  </si>
  <si>
    <t>Ulysses Guimarães</t>
  </si>
  <si>
    <t>3313</t>
  </si>
  <si>
    <t>Vanessa Silva</t>
  </si>
  <si>
    <t>3314</t>
  </si>
  <si>
    <t>William Carneiro</t>
  </si>
  <si>
    <t>3315</t>
  </si>
  <si>
    <t>Ximena Rocha</t>
  </si>
  <si>
    <t>3316</t>
  </si>
  <si>
    <t>Yasmin Figueiredo</t>
  </si>
  <si>
    <t>3317</t>
  </si>
  <si>
    <t>Zara Cunha</t>
  </si>
  <si>
    <t>3318</t>
  </si>
  <si>
    <t>Alan Teixeira</t>
  </si>
  <si>
    <t>3319</t>
  </si>
  <si>
    <t>Bárbara Oliveira</t>
  </si>
  <si>
    <t>3320</t>
  </si>
  <si>
    <t>Carlos Junqueira</t>
  </si>
  <si>
    <t>3321</t>
  </si>
  <si>
    <t>Daniela Moura</t>
  </si>
  <si>
    <t>3322</t>
  </si>
  <si>
    <t>Eduardo Lima</t>
  </si>
  <si>
    <t>3323</t>
  </si>
  <si>
    <t>Fabiana Araújo</t>
  </si>
  <si>
    <t>3324</t>
  </si>
  <si>
    <t>Geraldo Ribeiro</t>
  </si>
  <si>
    <t>3325</t>
  </si>
  <si>
    <t>Héctor Vargas</t>
  </si>
  <si>
    <t>3326</t>
  </si>
  <si>
    <t>Isabela Fonseca</t>
  </si>
  <si>
    <t>3327</t>
  </si>
  <si>
    <t>João Pedro Almeida</t>
  </si>
  <si>
    <t>3328</t>
  </si>
  <si>
    <t>Klara Costa</t>
  </si>
  <si>
    <t>3329</t>
  </si>
  <si>
    <t>Luciana Mendes</t>
  </si>
  <si>
    <t>3330</t>
  </si>
  <si>
    <t>Marcelo Gouveia</t>
  </si>
  <si>
    <t>3331</t>
  </si>
  <si>
    <t>Nívea Borges</t>
  </si>
  <si>
    <t>3332</t>
  </si>
  <si>
    <t>Oscar Nogueira</t>
  </si>
  <si>
    <t>3333</t>
  </si>
  <si>
    <t>Patrícia Alves</t>
  </si>
  <si>
    <t>3334</t>
  </si>
  <si>
    <t>Rafaela Silva</t>
  </si>
  <si>
    <t>3335</t>
  </si>
  <si>
    <t>Samantha Moraes</t>
  </si>
  <si>
    <t>3336</t>
  </si>
  <si>
    <t>Tatiana Rocha</t>
  </si>
  <si>
    <t>3337</t>
  </si>
  <si>
    <t>Ulisses Tavares</t>
  </si>
  <si>
    <t>3338</t>
  </si>
  <si>
    <t>Víctor Lemos</t>
  </si>
  <si>
    <t>3339</t>
  </si>
  <si>
    <t>Wilma Barros</t>
  </si>
  <si>
    <t>3340</t>
  </si>
  <si>
    <t>Xavier Nascimento</t>
  </si>
  <si>
    <t>3341</t>
  </si>
  <si>
    <t>Yago Pereira</t>
  </si>
  <si>
    <t>3342</t>
  </si>
  <si>
    <t>Zilda Ferreira</t>
  </si>
  <si>
    <t>3343</t>
  </si>
  <si>
    <t>Amanda Lopes</t>
  </si>
  <si>
    <t>3344</t>
  </si>
  <si>
    <t>Bruno Miranda</t>
  </si>
  <si>
    <t>3345</t>
  </si>
  <si>
    <t>Célia Torres</t>
  </si>
  <si>
    <t>3346</t>
  </si>
  <si>
    <t>Diogo Souza</t>
  </si>
  <si>
    <t>3347</t>
  </si>
  <si>
    <t>Elisa Castro</t>
  </si>
  <si>
    <t>3348</t>
  </si>
  <si>
    <t>Fátima Lima</t>
  </si>
  <si>
    <t>3349</t>
  </si>
  <si>
    <t>3350</t>
  </si>
  <si>
    <t>Hélio Martins</t>
  </si>
  <si>
    <t>3351</t>
  </si>
  <si>
    <t>Íris Santos</t>
  </si>
  <si>
    <t>3352</t>
  </si>
  <si>
    <t>João Marcelo</t>
  </si>
  <si>
    <t>3353</t>
  </si>
  <si>
    <t>Larissa Gomes</t>
  </si>
  <si>
    <t>3354</t>
  </si>
  <si>
    <t>Márcio Silva</t>
  </si>
  <si>
    <t>3355</t>
  </si>
  <si>
    <t>Nadia Costa</t>
  </si>
  <si>
    <t>3356</t>
  </si>
  <si>
    <t>Oscar Almeida</t>
  </si>
  <si>
    <t>3357</t>
  </si>
  <si>
    <t>Patricia Soares</t>
  </si>
  <si>
    <t>3358</t>
  </si>
  <si>
    <t>Quênia Barros</t>
  </si>
  <si>
    <t>3359</t>
  </si>
  <si>
    <t>Rafael Torres</t>
  </si>
  <si>
    <t>3360</t>
  </si>
  <si>
    <t>Silvia Nascimento</t>
  </si>
  <si>
    <t>3361</t>
  </si>
  <si>
    <t>Tiago Mendes</t>
  </si>
  <si>
    <t>3362</t>
  </si>
  <si>
    <t>Ursula Silva</t>
  </si>
  <si>
    <t>3363</t>
  </si>
  <si>
    <t>Vanessa Moraes</t>
  </si>
  <si>
    <t>3364</t>
  </si>
  <si>
    <t>Waldir Junior</t>
  </si>
  <si>
    <t>3365</t>
  </si>
  <si>
    <t>Xavier Lopes</t>
  </si>
  <si>
    <t>3366</t>
  </si>
  <si>
    <t>Yolanda Freitas</t>
  </si>
  <si>
    <t>3367</t>
  </si>
  <si>
    <t>Zacarias Nunes</t>
  </si>
  <si>
    <t>3368</t>
  </si>
  <si>
    <t>Ana Clara Barreto</t>
  </si>
  <si>
    <t>3369</t>
  </si>
  <si>
    <t>Bruno Henrique</t>
  </si>
  <si>
    <t>3370</t>
  </si>
  <si>
    <t>Carlos Eduardo</t>
  </si>
  <si>
    <t>3371</t>
  </si>
  <si>
    <t>Débora Lima</t>
  </si>
  <si>
    <t>3372</t>
  </si>
  <si>
    <t>Elisa Neves</t>
  </si>
  <si>
    <t>3373</t>
  </si>
  <si>
    <t>Fabiano Gomes</t>
  </si>
  <si>
    <t>3374</t>
  </si>
  <si>
    <t>Gisele Oliveira</t>
  </si>
  <si>
    <t>3375</t>
  </si>
  <si>
    <t>Héctor Silva</t>
  </si>
  <si>
    <t>3376</t>
  </si>
  <si>
    <t>Igor Martins</t>
  </si>
  <si>
    <t>3377</t>
  </si>
  <si>
    <t>Joana Figueiredo</t>
  </si>
  <si>
    <t>3378</t>
  </si>
  <si>
    <t>Kleber Machado</t>
  </si>
  <si>
    <t>3379</t>
  </si>
  <si>
    <t>Luciana Santos</t>
  </si>
  <si>
    <t>3380</t>
  </si>
  <si>
    <t>Marcos Teixeira</t>
  </si>
  <si>
    <t>3381</t>
  </si>
  <si>
    <t>Natalia Costa</t>
  </si>
  <si>
    <t>3382</t>
  </si>
  <si>
    <t>Oscar Ribeiro</t>
  </si>
  <si>
    <t>3383</t>
  </si>
  <si>
    <t>Patricia Almeida</t>
  </si>
  <si>
    <t>3384</t>
  </si>
  <si>
    <t>Quirino Junior</t>
  </si>
  <si>
    <t>3385</t>
  </si>
  <si>
    <t>Renata Machado</t>
  </si>
  <si>
    <t>3386</t>
  </si>
  <si>
    <t>Sônia Alves</t>
  </si>
  <si>
    <t>3387</t>
  </si>
  <si>
    <t>Tiago Nunes</t>
  </si>
  <si>
    <t>3388</t>
  </si>
  <si>
    <t>Ulysses Pereira</t>
  </si>
  <si>
    <t>3389</t>
  </si>
  <si>
    <t>Vanessa Lima</t>
  </si>
  <si>
    <t>3390</t>
  </si>
  <si>
    <t>Wagner Santos</t>
  </si>
  <si>
    <t>3391</t>
  </si>
  <si>
    <t>3392</t>
  </si>
  <si>
    <t>Yasmin Silva</t>
  </si>
  <si>
    <t>3393</t>
  </si>
  <si>
    <t>Zacarias de Souza</t>
  </si>
  <si>
    <t>3394</t>
  </si>
  <si>
    <t>André Lima</t>
  </si>
  <si>
    <t>3395</t>
  </si>
  <si>
    <t>Bianca Freitas</t>
  </si>
  <si>
    <t>3396</t>
  </si>
  <si>
    <t>Caio Mendes</t>
  </si>
  <si>
    <t>3397</t>
  </si>
  <si>
    <t>3398</t>
  </si>
  <si>
    <t>Eduardo Costa</t>
  </si>
  <si>
    <t>3399</t>
  </si>
  <si>
    <t>Fernanda Gomes</t>
  </si>
  <si>
    <t>3400</t>
  </si>
  <si>
    <t>Guilherme Souza</t>
  </si>
  <si>
    <t>3401</t>
  </si>
  <si>
    <t>Helena Ribeiro</t>
  </si>
  <si>
    <t>3402</t>
  </si>
  <si>
    <t>Igor Santos</t>
  </si>
  <si>
    <t>3403</t>
  </si>
  <si>
    <t>João Carvalho</t>
  </si>
  <si>
    <t>3404</t>
  </si>
  <si>
    <t>Klara Fagundes</t>
  </si>
  <si>
    <t>3405</t>
  </si>
  <si>
    <t>Lúcia Mendonça</t>
  </si>
  <si>
    <t>3406</t>
  </si>
  <si>
    <t>Marcelo Novaes</t>
  </si>
  <si>
    <t>3407</t>
  </si>
  <si>
    <t>Nina Pacheco</t>
  </si>
  <si>
    <t>3408</t>
  </si>
  <si>
    <t>Olívia Rios</t>
  </si>
  <si>
    <t>3409</t>
  </si>
  <si>
    <t>Paulo Quintana</t>
  </si>
  <si>
    <t>3410</t>
  </si>
  <si>
    <t>Raquel Domingos</t>
  </si>
  <si>
    <t>3411</t>
  </si>
  <si>
    <t>Samuel Viana</t>
  </si>
  <si>
    <t>3412</t>
  </si>
  <si>
    <t>Tatiane Rocha</t>
  </si>
  <si>
    <t>3413</t>
  </si>
  <si>
    <t>Ulysses Farias</t>
  </si>
  <si>
    <t>3414</t>
  </si>
  <si>
    <t>Vanessa Moreira</t>
  </si>
  <si>
    <t>3415</t>
  </si>
  <si>
    <t>William Carvalho</t>
  </si>
  <si>
    <t>3416</t>
  </si>
  <si>
    <t>Ximena Barros</t>
  </si>
  <si>
    <t>3417</t>
  </si>
  <si>
    <t>Yara Machado</t>
  </si>
  <si>
    <t>3418</t>
  </si>
  <si>
    <t>Zacarias Costa</t>
  </si>
  <si>
    <t>3419</t>
  </si>
  <si>
    <t>André Lopes</t>
  </si>
  <si>
    <t>3420</t>
  </si>
  <si>
    <t>Beatriz Souza</t>
  </si>
  <si>
    <t>3421</t>
  </si>
  <si>
    <t>3422</t>
  </si>
  <si>
    <t>Daniela Araújo</t>
  </si>
  <si>
    <t>3423</t>
  </si>
  <si>
    <t>Eduardo Santos</t>
  </si>
  <si>
    <t>3424</t>
  </si>
  <si>
    <t>3425</t>
  </si>
  <si>
    <t>Gabriel Teixeira</t>
  </si>
  <si>
    <t>3426</t>
  </si>
  <si>
    <t>3427</t>
  </si>
  <si>
    <t>Igor Mendes</t>
  </si>
  <si>
    <t>3428</t>
  </si>
  <si>
    <t>Joana Silveira</t>
  </si>
  <si>
    <t>3429</t>
  </si>
  <si>
    <t>Lucas Martins</t>
  </si>
  <si>
    <t>3430</t>
  </si>
  <si>
    <t>Marcela Gouveia</t>
  </si>
  <si>
    <t>3431</t>
  </si>
  <si>
    <t>Nicolas Borges</t>
  </si>
  <si>
    <t>3432</t>
  </si>
  <si>
    <t>Olivia Freitas</t>
  </si>
  <si>
    <t>3433</t>
  </si>
  <si>
    <t>Paulo Nogueira</t>
  </si>
  <si>
    <t>3434</t>
  </si>
  <si>
    <t>Raquel Andrade</t>
  </si>
  <si>
    <t>3435</t>
  </si>
  <si>
    <t>Sônia Carvalho</t>
  </si>
  <si>
    <t>3436</t>
  </si>
  <si>
    <t>Tiago Rodrigues</t>
  </si>
  <si>
    <t>3437</t>
  </si>
  <si>
    <t>Ursula Monteiro</t>
  </si>
  <si>
    <t>3438</t>
  </si>
  <si>
    <t>Vanessa Pereira</t>
  </si>
  <si>
    <t>3439</t>
  </si>
  <si>
    <t>Walter Silva</t>
  </si>
  <si>
    <t>3440</t>
  </si>
  <si>
    <t>Xavier Almeida</t>
  </si>
  <si>
    <t>3441</t>
  </si>
  <si>
    <t>Yasmine Correia</t>
  </si>
  <si>
    <t>3442</t>
  </si>
  <si>
    <t>Zacarias Almeida</t>
  </si>
  <si>
    <t>3443</t>
  </si>
  <si>
    <t>Amanda Costa</t>
  </si>
  <si>
    <t>3444</t>
  </si>
  <si>
    <t>Bruno Ferreira</t>
  </si>
  <si>
    <t>3445</t>
  </si>
  <si>
    <t>3446</t>
  </si>
  <si>
    <t>Diogo Martins</t>
  </si>
  <si>
    <t>3447</t>
  </si>
  <si>
    <t>Elisa Campos</t>
  </si>
  <si>
    <t>3448</t>
  </si>
  <si>
    <t>Fabiana Lima</t>
  </si>
  <si>
    <t>3449</t>
  </si>
  <si>
    <t>Gabriel Santos</t>
  </si>
  <si>
    <t>3450</t>
  </si>
  <si>
    <t>Helena Ferreira</t>
  </si>
  <si>
    <t>3451</t>
  </si>
  <si>
    <t>Ígor Nunes</t>
  </si>
  <si>
    <t>3452</t>
  </si>
  <si>
    <t>3453</t>
  </si>
  <si>
    <t>3454</t>
  </si>
  <si>
    <t>Luciana Morais</t>
  </si>
  <si>
    <t>3455</t>
  </si>
  <si>
    <t>Marcos Vinícius</t>
  </si>
  <si>
    <t>3456</t>
  </si>
  <si>
    <t>Natália Barros</t>
  </si>
  <si>
    <t>3457</t>
  </si>
  <si>
    <t>Oscar Sampaio</t>
  </si>
  <si>
    <t>3458</t>
  </si>
  <si>
    <t>Patrícia Leite</t>
  </si>
  <si>
    <t>3459</t>
  </si>
  <si>
    <t>Quênia Rocha</t>
  </si>
  <si>
    <t>3460</t>
  </si>
  <si>
    <t>3461</t>
  </si>
  <si>
    <t>Sandra Gouveia</t>
  </si>
  <si>
    <t>3462</t>
  </si>
  <si>
    <t>Tiago Lacerda</t>
  </si>
  <si>
    <t>3463</t>
  </si>
  <si>
    <t>Ursula Fonseca</t>
  </si>
  <si>
    <t>3464</t>
  </si>
  <si>
    <t>Vanessa Andrade</t>
  </si>
  <si>
    <t>3465</t>
  </si>
  <si>
    <t>William Castro</t>
  </si>
  <si>
    <t>3466</t>
  </si>
  <si>
    <t>Xavier Monteiro</t>
  </si>
  <si>
    <t>3467</t>
  </si>
  <si>
    <t>Yasmin Figueira</t>
  </si>
  <si>
    <t>3468</t>
  </si>
  <si>
    <t>Zacarias Mendonça</t>
  </si>
  <si>
    <t>3469</t>
  </si>
  <si>
    <t>Amanda Menezes</t>
  </si>
  <si>
    <t>3470</t>
  </si>
  <si>
    <t>Bruno Santos</t>
  </si>
  <si>
    <t>3471</t>
  </si>
  <si>
    <t>Carla Ferreira</t>
  </si>
  <si>
    <t>3472</t>
  </si>
  <si>
    <t>Diogo Alves</t>
  </si>
  <si>
    <t>3473</t>
  </si>
  <si>
    <t>3474</t>
  </si>
  <si>
    <t>Fabiano Pires</t>
  </si>
  <si>
    <t>3475</t>
  </si>
  <si>
    <t>Giovana Ribeiro</t>
  </si>
  <si>
    <t>3476</t>
  </si>
  <si>
    <t>Hélio Costa</t>
  </si>
  <si>
    <t>3477</t>
  </si>
  <si>
    <t>Íris Loureiro</t>
  </si>
  <si>
    <t>3478</t>
  </si>
  <si>
    <t>João Pereira</t>
  </si>
  <si>
    <t>3479</t>
  </si>
  <si>
    <t>Klara Silva</t>
  </si>
  <si>
    <t>3480</t>
  </si>
  <si>
    <t>Luciana Barros</t>
  </si>
  <si>
    <t>3481</t>
  </si>
  <si>
    <t>Marcos Gomes</t>
  </si>
  <si>
    <t>3482</t>
  </si>
  <si>
    <t>Natália Soares</t>
  </si>
  <si>
    <t>3483</t>
  </si>
  <si>
    <t>Oscar Machado</t>
  </si>
  <si>
    <t>3484</t>
  </si>
  <si>
    <t>Patrícia Lima</t>
  </si>
  <si>
    <t>3485</t>
  </si>
  <si>
    <t>Quirino Neto</t>
  </si>
  <si>
    <t>3486</t>
  </si>
  <si>
    <t>Rafaela Souza</t>
  </si>
  <si>
    <t>3487</t>
  </si>
  <si>
    <t>Sandro Almeida</t>
  </si>
  <si>
    <t>3488</t>
  </si>
  <si>
    <t>Tânia Ribeiro</t>
  </si>
  <si>
    <t>3489</t>
  </si>
  <si>
    <t>Ugo Dias</t>
  </si>
  <si>
    <t>3490</t>
  </si>
  <si>
    <t>Valéria Lima</t>
  </si>
  <si>
    <t>3491</t>
  </si>
  <si>
    <t>William Fernandes</t>
  </si>
  <si>
    <t>3492</t>
  </si>
  <si>
    <t>Xuxa Mendes</t>
  </si>
  <si>
    <t>3493</t>
  </si>
  <si>
    <t>Ygor Farias</t>
  </si>
  <si>
    <t>3494</t>
  </si>
  <si>
    <t>Zilda Barros</t>
  </si>
  <si>
    <t>3495</t>
  </si>
  <si>
    <t>Amanda Santos</t>
  </si>
  <si>
    <t>3496</t>
  </si>
  <si>
    <t>Bruno Costa</t>
  </si>
  <si>
    <t>3497</t>
  </si>
  <si>
    <t>Carla Rodrigues</t>
  </si>
  <si>
    <t>3498</t>
  </si>
  <si>
    <t>Diogo Pereira</t>
  </si>
  <si>
    <t>3499</t>
  </si>
  <si>
    <t>Elisa Correia</t>
  </si>
  <si>
    <t>3500</t>
  </si>
  <si>
    <t>Fábio Lourenço</t>
  </si>
  <si>
    <t>3501</t>
  </si>
  <si>
    <t>Gabriela Neves</t>
  </si>
  <si>
    <t>3502</t>
  </si>
  <si>
    <t>Henrique Gonçalves</t>
  </si>
  <si>
    <t>3503</t>
  </si>
  <si>
    <t>3504</t>
  </si>
  <si>
    <t>João Marcelo Alves</t>
  </si>
  <si>
    <t>3505</t>
  </si>
  <si>
    <t>Klara Fonseca</t>
  </si>
  <si>
    <t>3506</t>
  </si>
  <si>
    <t>Lucas Mendonça</t>
  </si>
  <si>
    <t>3507</t>
  </si>
  <si>
    <t>Marcela Torres</t>
  </si>
  <si>
    <t>3508</t>
  </si>
  <si>
    <t>Natália Castro</t>
  </si>
  <si>
    <t>3509</t>
  </si>
  <si>
    <t>Oscar Martins</t>
  </si>
  <si>
    <t>3510</t>
  </si>
  <si>
    <t>Patrícia Oliveira</t>
  </si>
  <si>
    <t>3511</t>
  </si>
  <si>
    <t>Quentin Nogueira</t>
  </si>
  <si>
    <t>3512</t>
  </si>
  <si>
    <t>Raquel Silva</t>
  </si>
  <si>
    <t>3513</t>
  </si>
  <si>
    <t>Sandro Gomes</t>
  </si>
  <si>
    <t>3514</t>
  </si>
  <si>
    <t>Tânia Machado</t>
  </si>
  <si>
    <t>3515</t>
  </si>
  <si>
    <t>3516</t>
  </si>
  <si>
    <t>3517</t>
  </si>
  <si>
    <t>3518</t>
  </si>
  <si>
    <t>Xavier Reis</t>
  </si>
  <si>
    <t>3519</t>
  </si>
  <si>
    <t>Yasmin Rocha</t>
  </si>
  <si>
    <t>3520</t>
  </si>
  <si>
    <t>Zacarias Duarte</t>
  </si>
  <si>
    <t>3521</t>
  </si>
  <si>
    <t>Amanda Freitas</t>
  </si>
  <si>
    <t>3522</t>
  </si>
  <si>
    <t>Bruno Almeida</t>
  </si>
  <si>
    <t>3523</t>
  </si>
  <si>
    <t>Carla Siqueira</t>
  </si>
  <si>
    <t>3524</t>
  </si>
  <si>
    <t>Diogo Ramos</t>
  </si>
  <si>
    <t>3525</t>
  </si>
  <si>
    <t>Elisa Magalhães</t>
  </si>
  <si>
    <t>3526</t>
  </si>
  <si>
    <t>Carlos Baiano</t>
  </si>
  <si>
    <t>ícones</t>
  </si>
  <si>
    <t>Logos</t>
  </si>
  <si>
    <t>Menus</t>
  </si>
  <si>
    <t>Xbox Color</t>
  </si>
  <si>
    <t>negative zone</t>
  </si>
  <si>
    <t># E8E6E9</t>
  </si>
  <si>
    <t>Paleta de Cores</t>
  </si>
  <si>
    <t>Neutro</t>
  </si>
  <si>
    <t>#000000</t>
  </si>
  <si>
    <t>#107c10</t>
  </si>
  <si>
    <t>#2ca243</t>
  </si>
  <si>
    <t>#77bb44</t>
  </si>
  <si>
    <t xml:space="preserve">	#ffffff</t>
  </si>
  <si>
    <t>Total Geral</t>
  </si>
  <si>
    <t>Soma de Total Value</t>
  </si>
  <si>
    <t>Pergunta1: Qual plano da mais rentabilidade (desconsiderando os acrescimos)</t>
  </si>
  <si>
    <t>Soma de Subscription Price</t>
  </si>
  <si>
    <t>Contagem de Total Value</t>
  </si>
  <si>
    <t>Pergunta2: Qual plano traz mais renovação (considerando os acrescimos)</t>
  </si>
  <si>
    <t>Pergunta3: Quanto arrecadamos com os passes extras</t>
  </si>
  <si>
    <t>Soma de EA Play Season Pass
Price</t>
  </si>
  <si>
    <t>Soma de Minecraft Season Pass Price</t>
  </si>
  <si>
    <t>Pergunta4: Estamos em crescimento em relações as inscrições ao longo de 2024?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</si>
  <si>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</si>
  <si>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</si>
  <si>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</si>
  <si>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</si>
  <si>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</si>
  <si>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</si>
  <si>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</si>
  <si>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</si>
  <si>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</si>
  <si>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</si>
  <si>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</si>
  <si>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</si>
  <si>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GAMEPASS SUBSCRIPTION SALES</t>
  </si>
  <si>
    <t>&gt;&gt;&gt; bem-vindo Usuario_1</t>
  </si>
  <si>
    <t>Calculation period: 01/01/2024 - 31/12/2024. UPDATE : 08/09/2026 - 22:47</t>
  </si>
  <si>
    <t>USUARIO</t>
  </si>
  <si>
    <t>SENHA</t>
  </si>
  <si>
    <t>TELA</t>
  </si>
  <si>
    <t>RIAN</t>
  </si>
  <si>
    <t>Dashboard</t>
  </si>
  <si>
    <t>JOSUE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</si>
</sst>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&quot;R$&quot;\ * #,##0.00_-;\-&quot;R$&quot;\ * #,##0.00_-;_-&quot;R$&quot;\ * &quot;-&quot;??_-;_-@_-"/>
    <numFmt numFmtId="164" formatCode="&quot;R$&quot;\ 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4"/>
      <color rgb="FF2CA24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E8E6E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107C10"/>
        <bgColor indexed="64"/>
      </patternFill>
    </fill>
    <fill>
      <patternFill patternType="solid">
        <fgColor rgb="FF2CA243"/>
        <bgColor indexed="64"/>
      </patternFill>
    </fill>
    <fill>
      <patternFill patternType="solid">
        <fgColor rgb="FF77BB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thick">
        <color rgb="FF2CA243"/>
      </bottom>
      <diagonal/>
    </border>
    <border>
      <left/>
      <right/>
      <top style="medium">
        <color theme="0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33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2" borderId="0" xfId="0" applyFill="1"/>
    <xf numFmtId="0" fontId="2" fillId="0" borderId="1" xfId="2"/>
    <xf numFmtId="0" fontId="0" fillId="3" borderId="0" xfId="0" applyFill="1"/>
    <xf numFmtId="0" fontId="5" fillId="6" borderId="0" xfId="0" applyFont="1" applyFill="1" applyAlignment="1">
      <alignment horizontal="left" vertical="center"/>
    </xf>
    <xf numFmtId="0" fontId="5" fillId="5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0" fillId="7" borderId="0" xfId="0" applyFill="1"/>
    <xf numFmtId="0" fontId="0" fillId="8" borderId="0" xfId="0" applyFill="1"/>
    <xf numFmtId="0" fontId="0" fillId="8" borderId="3" xfId="0" applyFill="1" applyBorder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0" fontId="3" fillId="0" borderId="4" xfId="3" applyBorder="1"/>
    <xf numFmtId="0" fontId="0" fillId="0" borderId="0" xfId="0" pivotButton="1"/>
    <xf numFmtId="44" fontId="0" fillId="0" borderId="0" xfId="0" applyNumberFormat="1"/>
    <xf numFmtId="164" fontId="0" fillId="0" borderId="0" xfId="1" applyNumberFormat="1" applyFont="1"/>
    <xf numFmtId="0" fontId="0" fillId="0" borderId="4" xfId="0" applyBorder="1"/>
    <xf numFmtId="0" fontId="0" fillId="0" borderId="0" xfId="0" applyBorder="1"/>
    <xf numFmtId="0" fontId="3" fillId="0" borderId="0" xfId="3" applyBorder="1"/>
    <xf numFmtId="0" fontId="0" fillId="8" borderId="5" xfId="0" applyFill="1" applyBorder="1" applyAlignment="1">
      <alignment vertical="center"/>
    </xf>
    <xf numFmtId="0" fontId="0" fillId="8" borderId="5" xfId="0" applyFill="1" applyBorder="1"/>
    <xf numFmtId="0" fontId="6" fillId="6" borderId="0" xfId="0" applyFont="1" applyFill="1"/>
    <xf numFmtId="0" fontId="4" fillId="6" borderId="6" xfId="0" applyFont="1" applyFill="1" applyBorder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7" fillId="3" borderId="0" xfId="0" applyFont="1" applyFill="1"/>
    <xf numFmtId="0" fontId="8" fillId="3" borderId="0" xfId="0" applyFont="1" applyFill="1"/>
    <xf numFmtId="0" fontId="9" fillId="8" borderId="5" xfId="0" applyFont="1" applyFill="1" applyBorder="1" applyAlignment="1">
      <alignment horizontal="left" vertical="center"/>
    </xf>
    <xf numFmtId="0" fontId="10" fillId="8" borderId="5" xfId="2" applyFont="1" applyFill="1" applyBorder="1" applyAlignment="1">
      <alignment horizontal="left" indent="9"/>
    </xf>
  </cellXfs>
  <cellStyles count="4">
    <cellStyle name="Moeda" xfId="1" builtinId="4"/>
    <cellStyle name="Normal" xfId="0" builtinId="0"/>
    <cellStyle name="Título 1" xfId="2" builtinId="16"/>
    <cellStyle name="Título 3" xfId="3" builtinId="18"/>
  </cellStyles>
  <dxfs count="21">
    <dxf>
      <numFmt numFmtId="164" formatCode="&quot;R$&quot;\ #,##0.00"/>
    </dxf>
    <dxf>
      <numFmt numFmtId="164" formatCode="&quot;R$&quot;\ #,##0.00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64" formatCode="&quot;R$&quot;\ #,##0.00"/>
    </dxf>
    <dxf>
      <numFmt numFmtId="164" formatCode="&quot;R$&quot;\ #,##0.0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&quot;R$&quot;\ #,##0.0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164" formatCode="&quot;R$&quot;\ #,##0.0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theme="0"/>
      </font>
      <fill>
        <patternFill patternType="none">
          <fgColor indexed="64"/>
          <bgColor auto="1"/>
        </patternFill>
      </fill>
    </dxf>
    <dxf>
      <fill>
        <patternFill patternType="solid">
          <fgColor theme="0"/>
          <bgColor rgb="FF2CA243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Estilo de Segmentação de Dados 1" pivot="0" table="0" count="8" xr9:uid="{FC85286A-D21B-48FB-9F58-1E879C4134EB}">
      <tableStyleElement type="wholeTable" dxfId="20"/>
      <tableStyleElement type="headerRow" dxfId="19"/>
    </tableStyle>
  </tableStyles>
  <colors>
    <mruColors>
      <color rgb="FF2CA243"/>
      <color rgb="FF77BB44"/>
      <color rgb="FF107C10"/>
      <color rgb="FFE8E6E9"/>
      <color rgb="FF000000"/>
    </mruColors>
  </colors>
  <extLst>
    <ext xmlns:x14="http://schemas.microsoft.com/office/spreadsheetml/2009/9/main" uri="{46F421CA-312F-682f-3DD2-61675219B42D}">
      <x14:dxfs count="6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59996337778862885"/>
            </patternFill>
          </fill>
        </dxf>
        <dxf>
          <fill>
            <patternFill>
              <bgColor theme="7" tint="0.59996337778862885"/>
            </patternFill>
          </fill>
        </dxf>
        <dxf>
          <fill>
            <patternFill>
              <bgColor theme="7" tint="0.59996337778862885"/>
            </patternFill>
          </fill>
        </dxf>
        <dxf>
          <fill>
            <patternFill>
              <bgColor theme="4" tint="0.59996337778862885"/>
            </patternFill>
          </fill>
        </dxf>
        <dxf>
          <fill>
            <patternFill>
              <bgColor theme="4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5"/>
            <x14:slicerStyleElement type="unselectedItemWithNoData" dxfId="4"/>
            <x14:slicerStyleElement type="selectedItemWithData" dxfId="3"/>
            <x14:slicerStyleElement type="selectedItemWithNoData" dxfId="2"/>
            <x14:slicerStyleElement type="hoveredSelectedItemWith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[Dasboard1.xlsm]Calculos!Tabela dinâmica1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Calculos!$C$8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88A1-47D7-81BF-90DDC5B0E37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8A1-47D7-81BF-90DDC5B0E37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A1-47D7-81BF-90DDC5B0E375}"/>
              </c:ext>
            </c:extLst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88A1-47D7-81BF-90DDC5B0E375}"/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2-88A1-47D7-81BF-90DDC5B0E375}"/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88A1-47D7-81BF-90DDC5B0E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Calculos!$B$9:$B$12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Calculos!$C$9:$C$12</c:f>
              <c:numCache>
                <c:formatCode>_("R$"* #,##0.00_);_("R$"* \(#,##0.00\);_("R$"* "-"??_);_(@_)</c:formatCode>
                <c:ptCount val="3"/>
                <c:pt idx="0">
                  <c:v>245</c:v>
                </c:pt>
                <c:pt idx="1">
                  <c:v>450</c:v>
                </c:pt>
                <c:pt idx="2">
                  <c:v>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A1-47D7-81BF-90DDC5B0E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[Dasboard1.xlsm]Calculos!Tabela dinâmica2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Calculos!$C$20:$C$21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Calculos!$B$22:$B$25</c:f>
              <c:strCache>
                <c:ptCount val="3"/>
                <c:pt idx="0">
                  <c:v>Annual</c:v>
                </c:pt>
                <c:pt idx="1">
                  <c:v>Monthly</c:v>
                </c:pt>
                <c:pt idx="2">
                  <c:v>Quarterly</c:v>
                </c:pt>
              </c:strCache>
            </c:strRef>
          </c:cat>
          <c:val>
            <c:numRef>
              <c:f>Calculos!$C$22:$C$25</c:f>
              <c:numCache>
                <c:formatCode>General</c:formatCode>
                <c:ptCount val="3"/>
                <c:pt idx="0">
                  <c:v>11</c:v>
                </c:pt>
                <c:pt idx="1">
                  <c:v>111</c:v>
                </c:pt>
                <c:pt idx="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D6-42A8-9585-728ADCB58875}"/>
            </c:ext>
          </c:extLst>
        </c:ser>
        <c:ser>
          <c:idx val="1"/>
          <c:order val="1"/>
          <c:tx>
            <c:strRef>
              <c:f>Calculos!$D$20:$D$21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Calculos!$B$22:$B$25</c:f>
              <c:strCache>
                <c:ptCount val="3"/>
                <c:pt idx="0">
                  <c:v>Annual</c:v>
                </c:pt>
                <c:pt idx="1">
                  <c:v>Monthly</c:v>
                </c:pt>
                <c:pt idx="2">
                  <c:v>Quarterly</c:v>
                </c:pt>
              </c:strCache>
            </c:strRef>
          </c:cat>
          <c:val>
            <c:numRef>
              <c:f>Calculos!$D$22:$D$25</c:f>
              <c:numCache>
                <c:formatCode>General</c:formatCode>
                <c:ptCount val="3"/>
                <c:pt idx="0">
                  <c:v>60</c:v>
                </c:pt>
                <c:pt idx="1">
                  <c:v>28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6-42A8-9585-728ADCB58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88534880"/>
        <c:axId val="1288518560"/>
      </c:barChart>
      <c:catAx>
        <c:axId val="1288534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8518560"/>
        <c:crosses val="autoZero"/>
        <c:auto val="1"/>
        <c:lblAlgn val="ctr"/>
        <c:lblOffset val="100"/>
        <c:noMultiLvlLbl val="0"/>
      </c:catAx>
      <c:valAx>
        <c:axId val="12885185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8853488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[Dasboard1.xlsm]Calculos!Tabela dinâmica7</c:name>
    <c:fmtId val="6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Calculos!$C$44:$C$45</c:f>
              <c:strCache>
                <c:ptCount val="1"/>
                <c:pt idx="0">
                  <c:v>Core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Calculos!$B$46:$B$58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Calculos!$C$46:$C$58</c:f>
              <c:numCache>
                <c:formatCode>_("R$"* #,##0.00_);_("R$"* \(#,##0.00\);_("R$"* "-"??_);_(@_)</c:formatCode>
                <c:ptCount val="12"/>
                <c:pt idx="0">
                  <c:v>5</c:v>
                </c:pt>
                <c:pt idx="2">
                  <c:v>48</c:v>
                </c:pt>
                <c:pt idx="3">
                  <c:v>44</c:v>
                </c:pt>
                <c:pt idx="4">
                  <c:v>49</c:v>
                </c:pt>
                <c:pt idx="5">
                  <c:v>43</c:v>
                </c:pt>
                <c:pt idx="6">
                  <c:v>48</c:v>
                </c:pt>
                <c:pt idx="7">
                  <c:v>49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52-4E87-90D6-2869664F0F5E}"/>
            </c:ext>
          </c:extLst>
        </c:ser>
        <c:ser>
          <c:idx val="1"/>
          <c:order val="1"/>
          <c:tx>
            <c:strRef>
              <c:f>Calculos!$D$44:$D$45</c:f>
              <c:strCache>
                <c:ptCount val="1"/>
                <c:pt idx="0">
                  <c:v>Standard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Calculos!$B$46:$B$58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Calculos!$D$46:$D$58</c:f>
              <c:numCache>
                <c:formatCode>_("R$"* #,##0.00_);_("R$"* \(#,##0.00\);_("R$"* "-"??_);_(@_)</c:formatCode>
                <c:ptCount val="12"/>
                <c:pt idx="1">
                  <c:v>20</c:v>
                </c:pt>
                <c:pt idx="2">
                  <c:v>191</c:v>
                </c:pt>
                <c:pt idx="3">
                  <c:v>193</c:v>
                </c:pt>
                <c:pt idx="4">
                  <c:v>183</c:v>
                </c:pt>
                <c:pt idx="5">
                  <c:v>196</c:v>
                </c:pt>
                <c:pt idx="6">
                  <c:v>188</c:v>
                </c:pt>
                <c:pt idx="7">
                  <c:v>188</c:v>
                </c:pt>
                <c:pt idx="8">
                  <c:v>188</c:v>
                </c:pt>
                <c:pt idx="9">
                  <c:v>178</c:v>
                </c:pt>
                <c:pt idx="10">
                  <c:v>188</c:v>
                </c:pt>
                <c:pt idx="11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52-4E87-90D6-2869664F0F5E}"/>
            </c:ext>
          </c:extLst>
        </c:ser>
        <c:ser>
          <c:idx val="2"/>
          <c:order val="2"/>
          <c:tx>
            <c:strRef>
              <c:f>Calculos!$E$44:$E$45</c:f>
              <c:strCache>
                <c:ptCount val="1"/>
                <c:pt idx="0">
                  <c:v>Ultimate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Calculos!$B$46:$B$58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Calculos!$E$46:$E$58</c:f>
              <c:numCache>
                <c:formatCode>_("R$"* #,##0.00_);_("R$"* \(#,##0.00\);_("R$"* "-"??_);_(@_)</c:formatCode>
                <c:ptCount val="12"/>
                <c:pt idx="0">
                  <c:v>60</c:v>
                </c:pt>
                <c:pt idx="1">
                  <c:v>62</c:v>
                </c:pt>
                <c:pt idx="2">
                  <c:v>562</c:v>
                </c:pt>
                <c:pt idx="3">
                  <c:v>545</c:v>
                </c:pt>
                <c:pt idx="4">
                  <c:v>545</c:v>
                </c:pt>
                <c:pt idx="5">
                  <c:v>531</c:v>
                </c:pt>
                <c:pt idx="6">
                  <c:v>548</c:v>
                </c:pt>
                <c:pt idx="7">
                  <c:v>550</c:v>
                </c:pt>
                <c:pt idx="8">
                  <c:v>548</c:v>
                </c:pt>
                <c:pt idx="9">
                  <c:v>610</c:v>
                </c:pt>
                <c:pt idx="10">
                  <c:v>552</c:v>
                </c:pt>
                <c:pt idx="11">
                  <c:v>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52-4E87-90D6-2869664F0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8534400"/>
        <c:axId val="1288536320"/>
      </c:lineChart>
      <c:catAx>
        <c:axId val="128853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8536320"/>
        <c:crosses val="autoZero"/>
        <c:auto val="1"/>
        <c:lblAlgn val="ctr"/>
        <c:lblOffset val="100"/>
        <c:noMultiLvlLbl val="0"/>
      </c:catAx>
      <c:valAx>
        <c:axId val="1288536320"/>
        <c:scaling>
          <c:orientation val="minMax"/>
          <c:max val="6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853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[Dasboard1.xlsm]Calculos!Tabela dinâmica7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Calculos!$C$44:$C$45</c:f>
              <c:strCache>
                <c:ptCount val="1"/>
                <c:pt idx="0">
                  <c:v>Core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Calculos!$B$46:$B$58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Calculos!$C$46:$C$58</c:f>
              <c:numCache>
                <c:formatCode>_("R$"* #,##0.00_);_("R$"* \(#,##0.00\);_("R$"* "-"??_);_(@_)</c:formatCode>
                <c:ptCount val="12"/>
                <c:pt idx="0">
                  <c:v>5</c:v>
                </c:pt>
                <c:pt idx="2">
                  <c:v>48</c:v>
                </c:pt>
                <c:pt idx="3">
                  <c:v>44</c:v>
                </c:pt>
                <c:pt idx="4">
                  <c:v>49</c:v>
                </c:pt>
                <c:pt idx="5">
                  <c:v>43</c:v>
                </c:pt>
                <c:pt idx="6">
                  <c:v>48</c:v>
                </c:pt>
                <c:pt idx="7">
                  <c:v>49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E4-41F8-AF1D-9DB3E2B47F19}"/>
            </c:ext>
          </c:extLst>
        </c:ser>
        <c:ser>
          <c:idx val="1"/>
          <c:order val="1"/>
          <c:tx>
            <c:strRef>
              <c:f>Calculos!$D$44:$D$45</c:f>
              <c:strCache>
                <c:ptCount val="1"/>
                <c:pt idx="0">
                  <c:v>Standard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Calculos!$B$46:$B$58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Calculos!$D$46:$D$58</c:f>
              <c:numCache>
                <c:formatCode>_("R$"* #,##0.00_);_("R$"* \(#,##0.00\);_("R$"* "-"??_);_(@_)</c:formatCode>
                <c:ptCount val="12"/>
                <c:pt idx="1">
                  <c:v>20</c:v>
                </c:pt>
                <c:pt idx="2">
                  <c:v>191</c:v>
                </c:pt>
                <c:pt idx="3">
                  <c:v>193</c:v>
                </c:pt>
                <c:pt idx="4">
                  <c:v>183</c:v>
                </c:pt>
                <c:pt idx="5">
                  <c:v>196</c:v>
                </c:pt>
                <c:pt idx="6">
                  <c:v>188</c:v>
                </c:pt>
                <c:pt idx="7">
                  <c:v>188</c:v>
                </c:pt>
                <c:pt idx="8">
                  <c:v>188</c:v>
                </c:pt>
                <c:pt idx="9">
                  <c:v>178</c:v>
                </c:pt>
                <c:pt idx="10">
                  <c:v>188</c:v>
                </c:pt>
                <c:pt idx="11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E4-41F8-AF1D-9DB3E2B47F19}"/>
            </c:ext>
          </c:extLst>
        </c:ser>
        <c:ser>
          <c:idx val="2"/>
          <c:order val="2"/>
          <c:tx>
            <c:strRef>
              <c:f>Calculos!$E$44:$E$45</c:f>
              <c:strCache>
                <c:ptCount val="1"/>
                <c:pt idx="0">
                  <c:v>Ultimate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Calculos!$B$46:$B$58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Calculos!$E$46:$E$58</c:f>
              <c:numCache>
                <c:formatCode>_("R$"* #,##0.00_);_("R$"* \(#,##0.00\);_("R$"* "-"??_);_(@_)</c:formatCode>
                <c:ptCount val="12"/>
                <c:pt idx="0">
                  <c:v>60</c:v>
                </c:pt>
                <c:pt idx="1">
                  <c:v>62</c:v>
                </c:pt>
                <c:pt idx="2">
                  <c:v>562</c:v>
                </c:pt>
                <c:pt idx="3">
                  <c:v>545</c:v>
                </c:pt>
                <c:pt idx="4">
                  <c:v>545</c:v>
                </c:pt>
                <c:pt idx="5">
                  <c:v>531</c:v>
                </c:pt>
                <c:pt idx="6">
                  <c:v>548</c:v>
                </c:pt>
                <c:pt idx="7">
                  <c:v>550</c:v>
                </c:pt>
                <c:pt idx="8">
                  <c:v>548</c:v>
                </c:pt>
                <c:pt idx="9">
                  <c:v>610</c:v>
                </c:pt>
                <c:pt idx="10">
                  <c:v>552</c:v>
                </c:pt>
                <c:pt idx="11">
                  <c:v>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E4-41F8-AF1D-9DB3E2B47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8534400"/>
        <c:axId val="1288536320"/>
      </c:lineChart>
      <c:catAx>
        <c:axId val="128853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8536320"/>
        <c:crosses val="autoZero"/>
        <c:auto val="1"/>
        <c:lblAlgn val="ctr"/>
        <c:lblOffset val="100"/>
        <c:noMultiLvlLbl val="0"/>
      </c:catAx>
      <c:valAx>
        <c:axId val="1288536320"/>
        <c:scaling>
          <c:orientation val="minMax"/>
          <c:max val="650"/>
          <c:min val="0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853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[Dasboard1.xlsm]Calculos!Tabela dinâmica1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Calculos!$C$8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B17-4739-818F-3F85CA16950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B17-4739-818F-3F85CA16950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B17-4739-818F-3F85CA169503}"/>
              </c:ext>
            </c:extLst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5B17-4739-818F-3F85CA169503}"/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5B17-4739-818F-3F85CA169503}"/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5B17-4739-818F-3F85CA1695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Calculos!$B$9:$B$12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Calculos!$C$9:$C$12</c:f>
              <c:numCache>
                <c:formatCode>_("R$"* #,##0.00_);_("R$"* \(#,##0.00\);_("R$"* "-"??_);_(@_)</c:formatCode>
                <c:ptCount val="3"/>
                <c:pt idx="0">
                  <c:v>245</c:v>
                </c:pt>
                <c:pt idx="1">
                  <c:v>450</c:v>
                </c:pt>
                <c:pt idx="2">
                  <c:v>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17-4739-818F-3F85CA169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[Dasboard1.xlsm]Calculos!Tabela dinâmica2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Calculos!$C$20:$C$21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Calculos!$B$22:$B$25</c:f>
              <c:strCache>
                <c:ptCount val="3"/>
                <c:pt idx="0">
                  <c:v>Annual</c:v>
                </c:pt>
                <c:pt idx="1">
                  <c:v>Monthly</c:v>
                </c:pt>
                <c:pt idx="2">
                  <c:v>Quarterly</c:v>
                </c:pt>
              </c:strCache>
            </c:strRef>
          </c:cat>
          <c:val>
            <c:numRef>
              <c:f>Calculos!$C$22:$C$25</c:f>
              <c:numCache>
                <c:formatCode>General</c:formatCode>
                <c:ptCount val="3"/>
                <c:pt idx="0">
                  <c:v>11</c:v>
                </c:pt>
                <c:pt idx="1">
                  <c:v>111</c:v>
                </c:pt>
                <c:pt idx="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98-417E-AEAD-D956E39AA396}"/>
            </c:ext>
          </c:extLst>
        </c:ser>
        <c:ser>
          <c:idx val="1"/>
          <c:order val="1"/>
          <c:tx>
            <c:strRef>
              <c:f>Calculos!$D$20:$D$21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Calculos!$B$22:$B$25</c:f>
              <c:strCache>
                <c:ptCount val="3"/>
                <c:pt idx="0">
                  <c:v>Annual</c:v>
                </c:pt>
                <c:pt idx="1">
                  <c:v>Monthly</c:v>
                </c:pt>
                <c:pt idx="2">
                  <c:v>Quarterly</c:v>
                </c:pt>
              </c:strCache>
            </c:strRef>
          </c:cat>
          <c:val>
            <c:numRef>
              <c:f>Calculos!$D$22:$D$25</c:f>
              <c:numCache>
                <c:formatCode>General</c:formatCode>
                <c:ptCount val="3"/>
                <c:pt idx="0">
                  <c:v>60</c:v>
                </c:pt>
                <c:pt idx="1">
                  <c:v>28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98-417E-AEAD-D956E39AA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88534880"/>
        <c:axId val="1288518560"/>
      </c:barChart>
      <c:catAx>
        <c:axId val="1288534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8518560"/>
        <c:crosses val="autoZero"/>
        <c:auto val="1"/>
        <c:lblAlgn val="ctr"/>
        <c:lblOffset val="100"/>
        <c:noMultiLvlLbl val="0"/>
      </c:catAx>
      <c:valAx>
        <c:axId val="12885185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8853488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image" Target="../media/image7.png"/><Relationship Id="rId7" Type="http://schemas.openxmlformats.org/officeDocument/2006/relationships/chart" Target="../charts/chart4.xml"/><Relationship Id="rId2" Type="http://schemas.openxmlformats.org/officeDocument/2006/relationships/image" Target="../media/image5.png"/><Relationship Id="rId1" Type="http://schemas.openxmlformats.org/officeDocument/2006/relationships/image" Target="../media/image1.png"/><Relationship Id="rId6" Type="http://schemas.openxmlformats.org/officeDocument/2006/relationships/image" Target="../media/image10.svg"/><Relationship Id="rId11" Type="http://schemas.openxmlformats.org/officeDocument/2006/relationships/image" Target="../media/image12.svg"/><Relationship Id="rId5" Type="http://schemas.openxmlformats.org/officeDocument/2006/relationships/image" Target="../media/image9.png"/><Relationship Id="rId10" Type="http://schemas.openxmlformats.org/officeDocument/2006/relationships/image" Target="../media/image11.png"/><Relationship Id="rId4" Type="http://schemas.openxmlformats.org/officeDocument/2006/relationships/image" Target="../media/image8.png"/><Relationship Id="rId9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144780</xdr:colOff>
      <xdr:row>1</xdr:row>
      <xdr:rowOff>144780</xdr:rowOff>
    </xdr:from>
    <xdr:to>
      <xdr:col>5</xdr:col>
      <xdr:colOff>198120</xdr:colOff>
      <xdr:row>8</xdr:row>
      <xdr:rowOff>167640</xdr:rowOff>
    </xdr:to>
    <xdr:sp macro="[0]!lsShow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1FE4309-88AA-495C-871D-4EAB936DBD11}"/>
            </a:ext>
          </a:extLst>
        </xdr:cNvPr>
        <xdr:cNvSpPr/>
      </xdr:nvSpPr>
      <xdr:spPr>
        <a:xfrm>
          <a:off x="144780" y="327660"/>
          <a:ext cx="3101340" cy="130302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3600">
              <a:solidFill>
                <a:schemeClr val="bg1"/>
              </a:solidFill>
            </a:rPr>
            <a:t>LOGIN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0</xdr:colOff>
      <xdr:row>5</xdr:row>
      <xdr:rowOff>0</xdr:rowOff>
    </xdr:from>
    <xdr:ext cx="304800" cy="297180"/>
    <xdr:sp macro="" textlink="">
      <xdr:nvSpPr>
        <xdr:cNvPr id="2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09C9889E-1A91-4714-850A-39BDAE1DF564}"/>
            </a:ext>
          </a:extLst>
        </xdr:cNvPr>
        <xdr:cNvSpPr>
          <a:spLocks noChangeAspect="1" noChangeArrowheads="1"/>
        </xdr:cNvSpPr>
      </xdr:nvSpPr>
      <xdr:spPr bwMode="auto">
        <a:xfrm>
          <a:off x="6705600" y="914400"/>
          <a:ext cx="304800" cy="297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13</xdr:col>
      <xdr:colOff>0</xdr:colOff>
      <xdr:row>5</xdr:row>
      <xdr:rowOff>0</xdr:rowOff>
    </xdr:from>
    <xdr:ext cx="304800" cy="297180"/>
    <xdr:sp macro="" textlink="">
      <xdr:nvSpPr>
        <xdr:cNvPr id="3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4633BF83-23FF-42BC-832D-84B6DA66354E}"/>
            </a:ext>
          </a:extLst>
        </xdr:cNvPr>
        <xdr:cNvSpPr>
          <a:spLocks noChangeAspect="1" noChangeArrowheads="1"/>
        </xdr:cNvSpPr>
      </xdr:nvSpPr>
      <xdr:spPr bwMode="auto">
        <a:xfrm>
          <a:off x="7924800" y="914400"/>
          <a:ext cx="304800" cy="297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241934</xdr:colOff>
      <xdr:row>13</xdr:row>
      <xdr:rowOff>1142</xdr:rowOff>
    </xdr:from>
    <xdr:ext cx="1500597" cy="437008"/>
    <xdr:pic>
      <xdr:nvPicPr>
        <xdr:cNvPr id="4" name="Imagem 3">
          <a:extLst>
            <a:ext uri="{FF2B5EF4-FFF2-40B4-BE49-F238E27FC236}">
              <a16:creationId xmlns:a16="http://schemas.microsoft.com/office/drawing/2014/main" id="{2AE189CA-E125-456B-AFE9-6F388050C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534" y="2546222"/>
          <a:ext cx="1500597" cy="437008"/>
        </a:xfrm>
        <a:prstGeom prst="rect">
          <a:avLst/>
        </a:prstGeom>
      </xdr:spPr>
    </xdr:pic>
    <xdr:clientData/>
  </xdr:oneCellAnchor>
  <xdr:oneCellAnchor>
    <xdr:from>
      <xdr:col>0</xdr:col>
      <xdr:colOff>561975</xdr:colOff>
      <xdr:row>15</xdr:row>
      <xdr:rowOff>47625</xdr:rowOff>
    </xdr:from>
    <xdr:ext cx="2886075" cy="984123"/>
    <xdr:pic>
      <xdr:nvPicPr>
        <xdr:cNvPr id="5" name="Imagem 4">
          <a:extLst>
            <a:ext uri="{FF2B5EF4-FFF2-40B4-BE49-F238E27FC236}">
              <a16:creationId xmlns:a16="http://schemas.microsoft.com/office/drawing/2014/main" id="{C43F4973-7F15-4A66-B557-C2968808F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2790825"/>
          <a:ext cx="2886075" cy="984123"/>
        </a:xfrm>
        <a:prstGeom prst="rect">
          <a:avLst/>
        </a:prstGeom>
      </xdr:spPr>
    </xdr:pic>
    <xdr:clientData/>
  </xdr:oneCellAnchor>
  <xdr:oneCellAnchor>
    <xdr:from>
      <xdr:col>11</xdr:col>
      <xdr:colOff>535305</xdr:colOff>
      <xdr:row>12</xdr:row>
      <xdr:rowOff>133350</xdr:rowOff>
    </xdr:from>
    <xdr:ext cx="238125" cy="230505"/>
    <xdr:pic>
      <xdr:nvPicPr>
        <xdr:cNvPr id="6" name="Gráfico 5" descr="Lupa com preenchimento sólido">
          <a:extLst>
            <a:ext uri="{FF2B5EF4-FFF2-40B4-BE49-F238E27FC236}">
              <a16:creationId xmlns:a16="http://schemas.microsoft.com/office/drawing/2014/main" id="{30D1901C-FB94-4AD9-AB6B-AD65B443D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75145" y="2487930"/>
          <a:ext cx="238125" cy="230505"/>
        </a:xfrm>
        <a:prstGeom prst="rect">
          <a:avLst/>
        </a:prstGeom>
      </xdr:spPr>
    </xdr:pic>
    <xdr:clientData/>
  </xdr:oneCellAnchor>
  <xdr:twoCellAnchor>
    <xdr:from>
      <xdr:col>9</xdr:col>
      <xdr:colOff>76200</xdr:colOff>
      <xdr:row>12</xdr:row>
      <xdr:rowOff>133350</xdr:rowOff>
    </xdr:from>
    <xdr:to>
      <xdr:col>10</xdr:col>
      <xdr:colOff>161925</xdr:colOff>
      <xdr:row>16</xdr:row>
      <xdr:rowOff>57150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66D8163-5F14-498B-8457-784180EDF69F}"/>
            </a:ext>
          </a:extLst>
        </xdr:cNvPr>
        <xdr:cNvSpPr/>
      </xdr:nvSpPr>
      <xdr:spPr>
        <a:xfrm>
          <a:off x="5562600" y="2327910"/>
          <a:ext cx="695325" cy="655320"/>
        </a:xfrm>
        <a:prstGeom prst="ellipse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10</xdr:col>
      <xdr:colOff>285750</xdr:colOff>
      <xdr:row>12</xdr:row>
      <xdr:rowOff>142875</xdr:rowOff>
    </xdr:from>
    <xdr:to>
      <xdr:col>11</xdr:col>
      <xdr:colOff>371475</xdr:colOff>
      <xdr:row>16</xdr:row>
      <xdr:rowOff>66675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5E123B28-C9CA-44E2-8929-1C9477248204}"/>
            </a:ext>
          </a:extLst>
        </xdr:cNvPr>
        <xdr:cNvSpPr/>
      </xdr:nvSpPr>
      <xdr:spPr>
        <a:xfrm>
          <a:off x="6381750" y="2337435"/>
          <a:ext cx="695325" cy="655320"/>
        </a:xfrm>
        <a:prstGeom prst="ellipse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oneCellAnchor>
    <xdr:from>
      <xdr:col>1</xdr:col>
      <xdr:colOff>57150</xdr:colOff>
      <xdr:row>21</xdr:row>
      <xdr:rowOff>180975</xdr:rowOff>
    </xdr:from>
    <xdr:ext cx="1219200" cy="1165860"/>
    <xdr:pic>
      <xdr:nvPicPr>
        <xdr:cNvPr id="9" name="Imagem 8">
          <a:extLst>
            <a:ext uri="{FF2B5EF4-FFF2-40B4-BE49-F238E27FC236}">
              <a16:creationId xmlns:a16="http://schemas.microsoft.com/office/drawing/2014/main" id="{8B0BD404-F643-4630-9AB4-76EBCE832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4021455"/>
          <a:ext cx="1219200" cy="1165860"/>
        </a:xfrm>
        <a:prstGeom prst="rect">
          <a:avLst/>
        </a:prstGeom>
      </xdr:spPr>
    </xdr:pic>
    <xdr:clientData/>
  </xdr:oneCellAnchor>
  <xdr:absoluteAnchor>
    <xdr:pos x="843915" y="5349239"/>
    <xdr:ext cx="1549476" cy="721996"/>
    <xdr:grpSp>
      <xdr:nvGrpSpPr>
        <xdr:cNvPr id="10" name="Agrupar 9">
          <a:extLst>
            <a:ext uri="{FF2B5EF4-FFF2-40B4-BE49-F238E27FC236}">
              <a16:creationId xmlns:a16="http://schemas.microsoft.com/office/drawing/2014/main" id="{354206C7-02A2-4CBB-B972-59614615466F}"/>
            </a:ext>
          </a:extLst>
        </xdr:cNvPr>
        <xdr:cNvGrpSpPr/>
      </xdr:nvGrpSpPr>
      <xdr:grpSpPr>
        <a:xfrm>
          <a:off x="843915" y="5349239"/>
          <a:ext cx="1549476" cy="721996"/>
          <a:chOff x="3495675" y="5400674"/>
          <a:chExt cx="1549476" cy="752476"/>
        </a:xfrm>
      </xdr:grpSpPr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D878B7F3-7B2A-66D6-E0ED-532B910D2F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98608" y="5400674"/>
            <a:ext cx="555497" cy="609599"/>
          </a:xfrm>
          <a:prstGeom prst="rect">
            <a:avLst/>
          </a:prstGeom>
        </xdr:spPr>
      </xdr:pic>
      <xdr:pic>
        <xdr:nvPicPr>
          <xdr:cNvPr id="12" name="Gráfico 11">
            <a:extLst>
              <a:ext uri="{FF2B5EF4-FFF2-40B4-BE49-F238E27FC236}">
                <a16:creationId xmlns:a16="http://schemas.microsoft.com/office/drawing/2014/main" id="{17989A36-7621-DDD6-D8FA-F0B5885A8E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495675" y="5895937"/>
            <a:ext cx="1549476" cy="257213"/>
          </a:xfrm>
          <a:prstGeom prst="rect">
            <a:avLst/>
          </a:prstGeom>
        </xdr:spPr>
      </xdr:pic>
    </xdr:grpSp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2047701</xdr:colOff>
      <xdr:row>3</xdr:row>
      <xdr:rowOff>96982</xdr:rowOff>
    </xdr:from>
    <xdr:to>
      <xdr:col>5</xdr:col>
      <xdr:colOff>619990</xdr:colOff>
      <xdr:row>13</xdr:row>
      <xdr:rowOff>121920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C4305E-8CEC-8102-3D47-8C37696BC2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479368</xdr:colOff>
      <xdr:row>13</xdr:row>
      <xdr:rowOff>144780</xdr:rowOff>
    </xdr:from>
    <xdr:to>
      <xdr:col>7</xdr:col>
      <xdr:colOff>144780</xdr:colOff>
      <xdr:row>26</xdr:row>
      <xdr:rowOff>122959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6EF7BA2-6672-5F22-48EA-12A69D5ADC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541020</xdr:colOff>
      <xdr:row>38</xdr:row>
      <xdr:rowOff>118110</xdr:rowOff>
    </xdr:from>
    <xdr:to>
      <xdr:col>7</xdr:col>
      <xdr:colOff>1767840</xdr:colOff>
      <xdr:row>58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664DAC4-85E8-3502-BDF2-34B7654317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48261</xdr:colOff>
      <xdr:row>0</xdr:row>
      <xdr:rowOff>221034</xdr:rowOff>
    </xdr:from>
    <xdr:to>
      <xdr:col>4</xdr:col>
      <xdr:colOff>96884</xdr:colOff>
      <xdr:row>1</xdr:row>
      <xdr:rowOff>354275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90D93C8-D1D7-4D36-9BBA-66A2258435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890" y="221034"/>
          <a:ext cx="1267823" cy="372727"/>
        </a:xfrm>
        <a:prstGeom prst="rect">
          <a:avLst/>
        </a:prstGeom>
      </xdr:spPr>
    </xdr:pic>
    <xdr:clientData/>
  </xdr:twoCellAnchor>
  <xdr:twoCellAnchor>
    <xdr:from>
      <xdr:col>0</xdr:col>
      <xdr:colOff>419100</xdr:colOff>
      <xdr:row>0</xdr:row>
      <xdr:rowOff>198120</xdr:rowOff>
    </xdr:from>
    <xdr:to>
      <xdr:col>0</xdr:col>
      <xdr:colOff>1203960</xdr:colOff>
      <xdr:row>3</xdr:row>
      <xdr:rowOff>53340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7A1EACF6-0F83-4C89-843D-C9FE2D2DABBA}"/>
            </a:ext>
          </a:extLst>
        </xdr:cNvPr>
        <xdr:cNvSpPr/>
      </xdr:nvSpPr>
      <xdr:spPr>
        <a:xfrm>
          <a:off x="419100" y="198120"/>
          <a:ext cx="784860" cy="746760"/>
        </a:xfrm>
        <a:prstGeom prst="ellipse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26</xdr:col>
      <xdr:colOff>131545</xdr:colOff>
      <xdr:row>5</xdr:row>
      <xdr:rowOff>90574</xdr:rowOff>
    </xdr:from>
    <xdr:to>
      <xdr:col>32</xdr:col>
      <xdr:colOff>381712</xdr:colOff>
      <xdr:row>14</xdr:row>
      <xdr:rowOff>34914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D6CD792B-6B7C-3477-5082-B4EADF2AB708}"/>
            </a:ext>
          </a:extLst>
        </xdr:cNvPr>
        <xdr:cNvGrpSpPr/>
      </xdr:nvGrpSpPr>
      <xdr:grpSpPr>
        <a:xfrm>
          <a:off x="16057345" y="1429517"/>
          <a:ext cx="3907767" cy="1609854"/>
          <a:chOff x="2514600" y="1013460"/>
          <a:chExt cx="4175760" cy="1584960"/>
        </a:xfrm>
      </xdr:grpSpPr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48565847-5C19-6C2F-28EF-C66E4AE2857C}"/>
              </a:ext>
            </a:extLst>
          </xdr:cNvPr>
          <xdr:cNvGrpSpPr/>
        </xdr:nvGrpSpPr>
        <xdr:grpSpPr>
          <a:xfrm>
            <a:off x="2514600" y="1013460"/>
            <a:ext cx="4175760" cy="1584960"/>
            <a:chOff x="2514600" y="1013460"/>
            <a:chExt cx="4175760" cy="1584960"/>
          </a:xfrm>
        </xdr:grpSpPr>
        <xdr:sp macro="" textlink="Calculos!$C$37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E74DE9C2-6DBB-47CB-9791-A23DA41F9C39}"/>
                </a:ext>
              </a:extLst>
            </xdr:cNvPr>
            <xdr:cNvSpPr/>
          </xdr:nvSpPr>
          <xdr:spPr>
            <a:xfrm>
              <a:off x="2517140" y="1038860"/>
              <a:ext cx="4165600" cy="1559560"/>
            </a:xfrm>
            <a:prstGeom prst="round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1371600" lvl="3" indent="0" algn="ctr"/>
              <a:fld id="{58384988-A935-4962-B1D5-A9D1F2F4CD37}" type="TxLink">
                <a:rPr lang="en-US" sz="2800" b="0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marL="1371600" lvl="3" indent="0" algn="ctr"/>
                <a:t>R$ 1.350,00</a:t>
              </a:fld>
              <a:endParaRPr lang="pt-BR" sz="28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">
          <xdr:nvSpPr>
            <xdr:cNvPr id="20" name="Retângulo: Cantos Superiores Arredondados 19">
              <a:extLst>
                <a:ext uri="{FF2B5EF4-FFF2-40B4-BE49-F238E27FC236}">
                  <a16:creationId xmlns:a16="http://schemas.microsoft.com/office/drawing/2014/main" id="{0D026CC4-E4C4-4264-9421-26DD2DA43161}"/>
                </a:ext>
              </a:extLst>
            </xdr:cNvPr>
            <xdr:cNvSpPr/>
          </xdr:nvSpPr>
          <xdr:spPr>
            <a:xfrm>
              <a:off x="2514600" y="1013460"/>
              <a:ext cx="4175760" cy="381000"/>
            </a:xfrm>
            <a:prstGeom prst="round2SameRect">
              <a:avLst/>
            </a:prstGeom>
            <a:solidFill>
              <a:srgbClr val="77BB44"/>
            </a:solidFill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400" b="1">
                  <a:ln>
                    <a:noFill/>
                  </a:ln>
                  <a:solidFill>
                    <a:schemeClr val="bg1"/>
                  </a:solidFill>
                </a:rPr>
                <a:t>TOTAL</a:t>
              </a:r>
              <a:r>
                <a:rPr lang="pt-BR" sz="1400" b="1" baseline="0">
                  <a:ln>
                    <a:noFill/>
                  </a:ln>
                  <a:solidFill>
                    <a:schemeClr val="bg1"/>
                  </a:solidFill>
                </a:rPr>
                <a:t> SUBSCRIPTION EA GAMEPASS</a:t>
              </a:r>
              <a:endParaRPr lang="pt-BR" sz="1400" b="1">
                <a:ln>
                  <a:noFill/>
                </a:ln>
                <a:solidFill>
                  <a:schemeClr val="bg1"/>
                </a:solidFill>
              </a:endParaRPr>
            </a:p>
          </xdr:txBody>
        </xdr:sp>
      </xdr:grpSp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C45F28CE-4E9D-43D3-83BD-D241CF8F1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10840" y="1272540"/>
            <a:ext cx="1219200" cy="116586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212922</xdr:colOff>
      <xdr:row>16</xdr:row>
      <xdr:rowOff>107310</xdr:rowOff>
    </xdr:from>
    <xdr:to>
      <xdr:col>32</xdr:col>
      <xdr:colOff>465800</xdr:colOff>
      <xdr:row>26</xdr:row>
      <xdr:rowOff>164817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4668A212-7605-8186-80FF-906DC9B9B52B}"/>
            </a:ext>
          </a:extLst>
        </xdr:cNvPr>
        <xdr:cNvGrpSpPr/>
      </xdr:nvGrpSpPr>
      <xdr:grpSpPr>
        <a:xfrm>
          <a:off x="16138722" y="3481881"/>
          <a:ext cx="3910478" cy="1908079"/>
          <a:chOff x="6454140" y="1668780"/>
          <a:chExt cx="4175760" cy="1607820"/>
        </a:xfrm>
      </xdr:grpSpPr>
      <xdr:sp macro="" textlink="Calculos!$D$37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DF11789D-4B07-4C52-894E-EA0659682DA4}"/>
              </a:ext>
            </a:extLst>
          </xdr:cNvPr>
          <xdr:cNvSpPr/>
        </xdr:nvSpPr>
        <xdr:spPr>
          <a:xfrm>
            <a:off x="6461760" y="1668780"/>
            <a:ext cx="4160520" cy="1607820"/>
          </a:xfrm>
          <a:prstGeom prst="round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1371600" lvl="3" indent="0" algn="ctr"/>
            <a:fld id="{73B6DB9D-8F93-4A14-8558-C79441F05BB7}" type="TxLink">
              <a:rPr lang="en-US" sz="28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1371600" lvl="3" indent="0" algn="ctr"/>
              <a:t>R$ 1.800,00</a:t>
            </a:fld>
            <a:endParaRPr lang="pt-BR" sz="28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24" name="Retângulo: Cantos Superiores Arredondados 23">
            <a:extLst>
              <a:ext uri="{FF2B5EF4-FFF2-40B4-BE49-F238E27FC236}">
                <a16:creationId xmlns:a16="http://schemas.microsoft.com/office/drawing/2014/main" id="{626DED23-A318-4DF7-BDA7-E5B25910944B}"/>
              </a:ext>
            </a:extLst>
          </xdr:cNvPr>
          <xdr:cNvSpPr/>
        </xdr:nvSpPr>
        <xdr:spPr>
          <a:xfrm>
            <a:off x="6454140" y="1668780"/>
            <a:ext cx="4175760" cy="381000"/>
          </a:xfrm>
          <a:prstGeom prst="round2SameRect">
            <a:avLst/>
          </a:prstGeom>
          <a:solidFill>
            <a:srgbClr val="77BB44"/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n>
                  <a:noFill/>
                </a:ln>
                <a:solidFill>
                  <a:schemeClr val="bg1"/>
                </a:solidFill>
              </a:rPr>
              <a:t>TOTAL</a:t>
            </a:r>
            <a:r>
              <a:rPr lang="pt-BR" sz="1400" b="1" baseline="0">
                <a:ln>
                  <a:noFill/>
                </a:ln>
                <a:solidFill>
                  <a:schemeClr val="bg1"/>
                </a:solidFill>
              </a:rPr>
              <a:t> SUBSCRIPTION EA GAMEPASS</a:t>
            </a:r>
            <a:endParaRPr lang="pt-BR" sz="1400" b="1">
              <a:ln>
                <a:noFill/>
              </a:ln>
              <a:solidFill>
                <a:schemeClr val="bg1"/>
              </a:solidFill>
            </a:endParaRPr>
          </a:p>
        </xdr:txBody>
      </xdr:sp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DEDAAA24-1267-4E70-BC9A-CC50AF0C96DA}"/>
              </a:ext>
            </a:extLst>
          </xdr:cNvPr>
          <xdr:cNvGrpSpPr/>
        </xdr:nvGrpSpPr>
        <xdr:grpSpPr>
          <a:xfrm>
            <a:off x="6758940" y="2179320"/>
            <a:ext cx="1394460" cy="632460"/>
            <a:chOff x="3495675" y="5400674"/>
            <a:chExt cx="1549476" cy="752476"/>
          </a:xfrm>
        </xdr:grpSpPr>
        <xdr:pic>
          <xdr:nvPicPr>
            <xdr:cNvPr id="26" name="Imagem 25">
              <a:extLst>
                <a:ext uri="{FF2B5EF4-FFF2-40B4-BE49-F238E27FC236}">
                  <a16:creationId xmlns:a16="http://schemas.microsoft.com/office/drawing/2014/main" id="{67024C67-189A-2348-4AD9-7846AEA4F8E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98608" y="5400674"/>
              <a:ext cx="555497" cy="609599"/>
            </a:xfrm>
            <a:prstGeom prst="rect">
              <a:avLst/>
            </a:prstGeom>
          </xdr:spPr>
        </xdr:pic>
        <xdr:pic>
          <xdr:nvPicPr>
            <xdr:cNvPr id="27" name="Gráfico 26">
              <a:extLst>
                <a:ext uri="{FF2B5EF4-FFF2-40B4-BE49-F238E27FC236}">
                  <a16:creationId xmlns:a16="http://schemas.microsoft.com/office/drawing/2014/main" id="{926BBC50-2CA5-0F61-7B9A-9BCD4702B22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3495675" y="5895937"/>
              <a:ext cx="1549476" cy="2572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2</xdr:col>
      <xdr:colOff>522871</xdr:colOff>
      <xdr:row>30</xdr:row>
      <xdr:rowOff>130630</xdr:rowOff>
    </xdr:from>
    <xdr:to>
      <xdr:col>34</xdr:col>
      <xdr:colOff>239486</xdr:colOff>
      <xdr:row>63</xdr:row>
      <xdr:rowOff>27100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9789D593-3CEA-F701-DE62-20C7B00E6796}"/>
            </a:ext>
          </a:extLst>
        </xdr:cNvPr>
        <xdr:cNvGrpSpPr/>
      </xdr:nvGrpSpPr>
      <xdr:grpSpPr>
        <a:xfrm>
          <a:off x="2558500" y="6096001"/>
          <a:ext cx="18483586" cy="6003356"/>
          <a:chOff x="1676400" y="3299460"/>
          <a:chExt cx="10218420" cy="3873077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B27DFA26-02BB-18FD-C3F0-DD7DE188F33C}"/>
              </a:ext>
            </a:extLst>
          </xdr:cNvPr>
          <xdr:cNvGrpSpPr/>
        </xdr:nvGrpSpPr>
        <xdr:grpSpPr>
          <a:xfrm>
            <a:off x="1692485" y="3307080"/>
            <a:ext cx="10179475" cy="3865457"/>
            <a:chOff x="1692485" y="4739640"/>
            <a:chExt cx="10684934" cy="3865457"/>
          </a:xfrm>
        </xdr:grpSpPr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928F6FFA-AEBF-9D4E-2881-70CCBBDF2972}"/>
                </a:ext>
              </a:extLst>
            </xdr:cNvPr>
            <xdr:cNvSpPr/>
          </xdr:nvSpPr>
          <xdr:spPr>
            <a:xfrm>
              <a:off x="1692485" y="4739640"/>
              <a:ext cx="10684934" cy="381846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aphicFrame macro="">
          <xdr:nvGraphicFramePr>
            <xdr:cNvPr id="13" name="Gráfico 12">
              <a:extLst>
                <a:ext uri="{FF2B5EF4-FFF2-40B4-BE49-F238E27FC236}">
                  <a16:creationId xmlns:a16="http://schemas.microsoft.com/office/drawing/2014/main" id="{0544848F-AADE-4175-AB58-BDFFD0CE1076}"/>
                </a:ext>
              </a:extLst>
            </xdr:cNvPr>
            <xdr:cNvGraphicFramePr>
              <a:graphicFrameLocks/>
            </xdr:cNvGraphicFramePr>
          </xdr:nvGraphicFramePr>
          <xdr:xfrm>
            <a:off x="1827954" y="5122334"/>
            <a:ext cx="10397066" cy="34827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</xdr:grpSp>
      <xdr:sp macro="" textlink="">
        <xdr:nvSpPr>
          <xdr:cNvPr id="29" name="Retângulo: Cantos Superiores Arredondados 28">
            <a:extLst>
              <a:ext uri="{FF2B5EF4-FFF2-40B4-BE49-F238E27FC236}">
                <a16:creationId xmlns:a16="http://schemas.microsoft.com/office/drawing/2014/main" id="{B336527B-F9BF-4032-B3D9-0F0BD0C48686}"/>
              </a:ext>
            </a:extLst>
          </xdr:cNvPr>
          <xdr:cNvSpPr/>
        </xdr:nvSpPr>
        <xdr:spPr>
          <a:xfrm>
            <a:off x="1676400" y="3299460"/>
            <a:ext cx="10218420" cy="355720"/>
          </a:xfrm>
          <a:prstGeom prst="round2SameRect">
            <a:avLst/>
          </a:prstGeom>
          <a:solidFill>
            <a:srgbClr val="77BB44"/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n>
                  <a:noFill/>
                </a:ln>
                <a:solidFill>
                  <a:schemeClr val="bg1"/>
                </a:solidFill>
              </a:rPr>
              <a:t>SUBSCRIPTION</a:t>
            </a:r>
            <a:r>
              <a:rPr lang="pt-BR" sz="1400" b="1" baseline="0">
                <a:ln>
                  <a:noFill/>
                </a:ln>
                <a:solidFill>
                  <a:schemeClr val="bg1"/>
                </a:solidFill>
              </a:rPr>
              <a:t> ALONG THE TIME - 2024</a:t>
            </a:r>
            <a:endParaRPr lang="pt-BR" sz="1400" b="1">
              <a:ln>
                <a:noFill/>
              </a:ln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19</xdr:col>
      <xdr:colOff>435855</xdr:colOff>
      <xdr:row>5</xdr:row>
      <xdr:rowOff>76200</xdr:rowOff>
    </xdr:from>
    <xdr:to>
      <xdr:col>25</xdr:col>
      <xdr:colOff>283029</xdr:colOff>
      <xdr:row>26</xdr:row>
      <xdr:rowOff>163285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F7EFF9E3-76DE-42EE-E90B-756CC6929AD5}"/>
            </a:ext>
          </a:extLst>
        </xdr:cNvPr>
        <xdr:cNvGrpSpPr/>
      </xdr:nvGrpSpPr>
      <xdr:grpSpPr>
        <a:xfrm>
          <a:off x="12094455" y="1415143"/>
          <a:ext cx="3504774" cy="3973285"/>
          <a:chOff x="11554857" y="1787254"/>
          <a:chExt cx="2873750" cy="2895181"/>
        </a:xfrm>
      </xdr:grpSpPr>
      <xdr:sp macro="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1629A4A1-1DD5-2264-AB04-40CFBAC47798}"/>
              </a:ext>
            </a:extLst>
          </xdr:cNvPr>
          <xdr:cNvSpPr/>
        </xdr:nvSpPr>
        <xdr:spPr>
          <a:xfrm>
            <a:off x="11728174" y="2164522"/>
            <a:ext cx="2374348" cy="2517913"/>
          </a:xfrm>
          <a:prstGeom prst="round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7F9B08F0-2A90-0B8C-BC7D-47CE8D317902}"/>
              </a:ext>
            </a:extLst>
          </xdr:cNvPr>
          <xdr:cNvGrpSpPr/>
        </xdr:nvGrpSpPr>
        <xdr:grpSpPr>
          <a:xfrm>
            <a:off x="11731626" y="1787254"/>
            <a:ext cx="2387697" cy="1081734"/>
            <a:chOff x="2453640" y="1470660"/>
            <a:chExt cx="2796540" cy="990600"/>
          </a:xfrm>
        </xdr:grpSpPr>
        <xdr:sp macro="" textlink="Calculos!$C$12">
          <xdr:nvSpPr>
            <xdr:cNvPr id="14" name="Retângulo: Cantos Arredondados 13">
              <a:extLst>
                <a:ext uri="{FF2B5EF4-FFF2-40B4-BE49-F238E27FC236}">
                  <a16:creationId xmlns:a16="http://schemas.microsoft.com/office/drawing/2014/main" id="{0E7BEAD5-2688-4A0B-4DD2-36B11F12DB30}"/>
                </a:ext>
              </a:extLst>
            </xdr:cNvPr>
            <xdr:cNvSpPr/>
          </xdr:nvSpPr>
          <xdr:spPr>
            <a:xfrm>
              <a:off x="2458720" y="1485900"/>
              <a:ext cx="2781300" cy="975360"/>
            </a:xfrm>
            <a:prstGeom prst="round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34A78913-812C-4407-A9D7-5D5D95FA5718}" type="TxLink">
                <a:rPr lang="en-US" sz="2800" b="0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ctr"/>
                <a:t> R$ 1.370,00 </a:t>
              </a:fld>
              <a:endParaRPr lang="pt-BR" sz="2800"/>
            </a:p>
          </xdr:txBody>
        </xdr:sp>
        <xdr:sp macro="" textlink="">
          <xdr:nvSpPr>
            <xdr:cNvPr id="17" name="Retângulo: Cantos Superiores Arredondados 16">
              <a:extLst>
                <a:ext uri="{FF2B5EF4-FFF2-40B4-BE49-F238E27FC236}">
                  <a16:creationId xmlns:a16="http://schemas.microsoft.com/office/drawing/2014/main" id="{548E8D2F-EAD1-600C-500F-89D1734E7B5B}"/>
                </a:ext>
              </a:extLst>
            </xdr:cNvPr>
            <xdr:cNvSpPr/>
          </xdr:nvSpPr>
          <xdr:spPr>
            <a:xfrm>
              <a:off x="2453640" y="1470660"/>
              <a:ext cx="2796540" cy="274320"/>
            </a:xfrm>
            <a:prstGeom prst="round2SameRect">
              <a:avLst/>
            </a:prstGeom>
            <a:solidFill>
              <a:srgbClr val="77BB44"/>
            </a:solidFill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400">
                  <a:ln>
                    <a:noFill/>
                  </a:ln>
                  <a:solidFill>
                    <a:schemeClr val="bg1"/>
                  </a:solidFill>
                </a:rPr>
                <a:t>TOTAL</a:t>
              </a:r>
              <a:r>
                <a:rPr lang="pt-BR" sz="1400" baseline="0">
                  <a:ln>
                    <a:noFill/>
                  </a:ln>
                  <a:solidFill>
                    <a:schemeClr val="bg1"/>
                  </a:solidFill>
                </a:rPr>
                <a:t> SUBSCRIPTION XBOX GAMEPASS</a:t>
              </a:r>
              <a:endParaRPr lang="pt-BR" sz="1400">
                <a:ln>
                  <a:noFill/>
                </a:ln>
                <a:solidFill>
                  <a:schemeClr val="bg1"/>
                </a:solidFill>
              </a:endParaRPr>
            </a:p>
          </xdr:txBody>
        </xdr:sp>
      </xdr:grpSp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026A49FD-8CE8-4CA5-B1EA-DD561F0FC082}"/>
              </a:ext>
            </a:extLst>
          </xdr:cNvPr>
          <xdr:cNvGraphicFramePr>
            <a:graphicFrameLocks/>
          </xdr:cNvGraphicFramePr>
        </xdr:nvGraphicFramePr>
        <xdr:xfrm>
          <a:off x="11554857" y="2495292"/>
          <a:ext cx="2873750" cy="214274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7954</xdr:colOff>
      <xdr:row>8</xdr:row>
      <xdr:rowOff>152400</xdr:rowOff>
    </xdr:from>
    <xdr:to>
      <xdr:col>16</xdr:col>
      <xdr:colOff>239485</xdr:colOff>
      <xdr:row>27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3ED0FD67-4518-E1CA-D06E-9A9F8CCF74BB}"/>
            </a:ext>
          </a:extLst>
        </xdr:cNvPr>
        <xdr:cNvGrpSpPr/>
      </xdr:nvGrpSpPr>
      <xdr:grpSpPr>
        <a:xfrm>
          <a:off x="2653183" y="2046514"/>
          <a:ext cx="8156331" cy="3363686"/>
          <a:chOff x="13601543" y="4124266"/>
          <a:chExt cx="6737776" cy="2781360"/>
        </a:xfrm>
      </xdr:grpSpPr>
      <xdr:grpSp>
        <xdr:nvGrpSpPr>
          <xdr:cNvPr id="9" name="Agrupar 8">
            <a:extLst>
              <a:ext uri="{FF2B5EF4-FFF2-40B4-BE49-F238E27FC236}">
                <a16:creationId xmlns:a16="http://schemas.microsoft.com/office/drawing/2014/main" id="{BBA5DCB5-DFBA-33B8-DFD3-5E93DE13249C}"/>
              </a:ext>
            </a:extLst>
          </xdr:cNvPr>
          <xdr:cNvGrpSpPr/>
        </xdr:nvGrpSpPr>
        <xdr:grpSpPr>
          <a:xfrm>
            <a:off x="13601543" y="4384197"/>
            <a:ext cx="6737776" cy="2521429"/>
            <a:chOff x="6736080" y="1356360"/>
            <a:chExt cx="4663440" cy="2744239"/>
          </a:xfrm>
        </xdr:grpSpPr>
        <xdr:sp macro="" textlink="">
          <xdr:nvSpPr>
            <xdr:cNvPr id="7" name="Retângulo: Cantos Arredondados 6">
              <a:extLst>
                <a:ext uri="{FF2B5EF4-FFF2-40B4-BE49-F238E27FC236}">
                  <a16:creationId xmlns:a16="http://schemas.microsoft.com/office/drawing/2014/main" id="{DEDC0743-C1AE-DA22-65FF-9066D6E7CB3B}"/>
                </a:ext>
              </a:extLst>
            </xdr:cNvPr>
            <xdr:cNvSpPr/>
          </xdr:nvSpPr>
          <xdr:spPr>
            <a:xfrm>
              <a:off x="6736080" y="1356360"/>
              <a:ext cx="4663440" cy="2651760"/>
            </a:xfrm>
            <a:prstGeom prst="roundRect">
              <a:avLst/>
            </a:prstGeom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aphicFrame macro="">
          <xdr:nvGraphicFramePr>
            <xdr:cNvPr id="8" name="Gráfico 7">
              <a:extLst>
                <a:ext uri="{FF2B5EF4-FFF2-40B4-BE49-F238E27FC236}">
                  <a16:creationId xmlns:a16="http://schemas.microsoft.com/office/drawing/2014/main" id="{B2662F2F-6C93-4090-9F30-595848C8011C}"/>
                </a:ext>
              </a:extLst>
            </xdr:cNvPr>
            <xdr:cNvGraphicFramePr>
              <a:graphicFrameLocks/>
            </xdr:cNvGraphicFramePr>
          </xdr:nvGraphicFramePr>
          <xdr:xfrm>
            <a:off x="6865620" y="1615440"/>
            <a:ext cx="3993571" cy="248515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</xdr:grpSp>
      <xdr:sp macro="" textlink="">
        <xdr:nvSpPr>
          <xdr:cNvPr id="35" name="Retângulo: Cantos Superiores Arredondados 34">
            <a:extLst>
              <a:ext uri="{FF2B5EF4-FFF2-40B4-BE49-F238E27FC236}">
                <a16:creationId xmlns:a16="http://schemas.microsoft.com/office/drawing/2014/main" id="{CBB3372B-9023-46F9-B1C6-055EC64382E5}"/>
              </a:ext>
            </a:extLst>
          </xdr:cNvPr>
          <xdr:cNvSpPr/>
        </xdr:nvSpPr>
        <xdr:spPr>
          <a:xfrm>
            <a:off x="13615170" y="4124266"/>
            <a:ext cx="6716213" cy="538492"/>
          </a:xfrm>
          <a:prstGeom prst="round2SameRect">
            <a:avLst/>
          </a:prstGeom>
          <a:solidFill>
            <a:srgbClr val="77BB44"/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>
                <a:ln>
                  <a:noFill/>
                </a:ln>
                <a:solidFill>
                  <a:schemeClr val="bg1"/>
                </a:solidFill>
              </a:rPr>
              <a:t>TOTAL</a:t>
            </a:r>
            <a:r>
              <a:rPr lang="pt-BR" sz="2000" b="1" baseline="0">
                <a:ln>
                  <a:noFill/>
                </a:ln>
                <a:solidFill>
                  <a:schemeClr val="bg1"/>
                </a:solidFill>
              </a:rPr>
              <a:t> OF RENEWAL BY TYPE OF SUBSCRIPTION</a:t>
            </a:r>
            <a:endParaRPr lang="pt-BR" sz="2000" b="1">
              <a:ln>
                <a:noFill/>
              </a:ln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7</xdr:row>
      <xdr:rowOff>66040</xdr:rowOff>
    </xdr:from>
    <xdr:to>
      <xdr:col>0</xdr:col>
      <xdr:colOff>1828800</xdr:colOff>
      <xdr:row>15</xdr:row>
      <xdr:rowOff>15240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Subscription Type">
              <a:extLst>
                <a:ext uri="{FF2B5EF4-FFF2-40B4-BE49-F238E27FC236}">
                  <a16:creationId xmlns:a16="http://schemas.microsoft.com/office/drawing/2014/main" id="{6FD04AD1-3495-496E-93D5-607B52F63A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775097"/>
              <a:ext cx="1828800" cy="14296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oneCellAnchor>
    <xdr:from>
      <xdr:col>0</xdr:col>
      <xdr:colOff>76201</xdr:colOff>
      <xdr:row>5</xdr:row>
      <xdr:rowOff>174172</xdr:rowOff>
    </xdr:from>
    <xdr:ext cx="238125" cy="230505"/>
    <xdr:pic>
      <xdr:nvPicPr>
        <xdr:cNvPr id="38" name="Gráfico 37" descr="Lupa com preenchimento sólido">
          <a:extLst>
            <a:ext uri="{FF2B5EF4-FFF2-40B4-BE49-F238E27FC236}">
              <a16:creationId xmlns:a16="http://schemas.microsoft.com/office/drawing/2014/main" id="{872412E6-A9F4-43E1-8D3E-1BE9708F4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76201" y="1447801"/>
          <a:ext cx="238125" cy="230505"/>
        </a:xfrm>
        <a:prstGeom prst="rect">
          <a:avLst/>
        </a:prstGeom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ué Mauricio" refreshedDate="46273.746651620371" createdVersion="8" refreshedVersion="8" minRefreshableVersion="3" recordCount="296" xr:uid="{3A8526D9-C2DD-4BE4-B1E4-BA6E7E799DD8}">
  <cacheSource type="worksheet">
    <worksheetSource name="Tbl_xbox"/>
  </cacheSource>
  <cacheFields count="15">
    <cacheField name="Subscriber ID" numFmtId="0">
      <sharedItems/>
    </cacheField>
    <cacheField name="Name" numFmtId="0">
      <sharedItems/>
    </cacheField>
    <cacheField name="Plan" numFmtId="0">
      <sharedItems count="3">
        <s v="Ultimate"/>
        <s v="Core"/>
        <s v="Standard"/>
      </sharedItems>
    </cacheField>
    <cacheField name="Start Date" numFmtId="14">
      <sharedItems containsSemiMixedTypes="0" containsNonDate="0" containsDate="1" containsString="0" minDate="2024-01-01T00:00:00" maxDate="2024-12-18T00:00:00" count="295">
        <d v="2024-01-01T00:00:00"/>
        <d v="2024-01-15T00:00:00"/>
        <d v="2024-02-10T00:00:00"/>
        <d v="2024-02-20T00:00:00"/>
        <d v="2024-03-05T00:00:00"/>
        <d v="2024-03-02T00:00:00"/>
        <d v="2024-03-03T00:00:00"/>
        <d v="2024-03-04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3T00:00:00"/>
        <d v="2024-12-14T00:00:00"/>
        <d v="2024-12-15T00:00:00"/>
        <d v="2024-12-16T00:00:00"/>
        <d v="2024-12-17T00:00:00"/>
      </sharedItems>
      <fieldGroup par="14"/>
    </cacheField>
    <cacheField name="Auto Renewal" numFmtId="0">
      <sharedItems count="2">
        <s v="Yes"/>
        <s v="No"/>
      </sharedItems>
    </cacheField>
    <cacheField name="Subscription Price" numFmtId="164">
      <sharedItems containsSemiMixedTypes="0" containsString="0" containsNumber="1" containsInteger="1" minValue="5" maxValue="15" count="3">
        <n v="15"/>
        <n v="5"/>
        <n v="10"/>
      </sharedItems>
    </cacheField>
    <cacheField name="Subscription Type" numFmtId="0">
      <sharedItems count="3">
        <s v="Monthly"/>
        <s v="Annual"/>
        <s v="Quarterly"/>
      </sharedItems>
    </cacheField>
    <cacheField name="EA Play Season Pass" numFmtId="0">
      <sharedItems count="2">
        <s v="Yes"/>
        <s v="No"/>
      </sharedItems>
    </cacheField>
    <cacheField name="EA Play Season Pass_x000a_Price" numFmtId="164">
      <sharedItems containsSemiMixedTypes="0" containsString="0" containsNumber="1" containsInteger="1" minValue="0" maxValue="30" count="2">
        <n v="30"/>
        <n v="0"/>
      </sharedItems>
    </cacheField>
    <cacheField name="Minecraft Season Pass" numFmtId="0">
      <sharedItems count="2">
        <s v="Yes"/>
        <s v="No"/>
      </sharedItems>
    </cacheField>
    <cacheField name="Minecraft Season Pass Price" numFmtId="164">
      <sharedItems containsSemiMixedTypes="0" containsString="0" containsNumber="1" containsInteger="1" minValue="0" maxValue="20" count="2">
        <n v="20"/>
        <n v="0"/>
      </sharedItems>
    </cacheField>
    <cacheField name="Coupon Value" numFmtId="0">
      <sharedItems containsSemiMixedTypes="0" containsString="0" containsNumber="1" containsInteger="1" minValue="0" maxValue="20"/>
    </cacheField>
    <cacheField name="Total Value" numFmtId="164">
      <sharedItems containsSemiMixedTypes="0" containsString="0" containsNumber="1" containsInteger="1" minValue="3" maxValue="62"/>
    </cacheField>
    <cacheField name="Dias (Start Date)" numFmtId="0" databaseField="0">
      <fieldGroup base="3">
        <rangePr groupBy="days" startDate="2024-01-01T00:00:00" endDate="2024-12-18T00:00:00"/>
        <groupItems count="368">
          <s v="&lt;01/01/2024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8/12/2024"/>
        </groupItems>
      </fieldGroup>
    </cacheField>
    <cacheField name="Meses (Start Date)" numFmtId="0" databaseField="0">
      <fieldGroup base="3">
        <rangePr groupBy="months" startDate="2024-01-01T00:00:00" endDate="2024-12-18T00:00:00"/>
        <groupItems count="14">
          <s v="&lt;01/01/202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8/12/2024"/>
        </groupItems>
      </fieldGroup>
    </cacheField>
  </cacheFields>
  <extLst>
    <ext xmlns:x14="http://schemas.microsoft.com/office/spreadsheetml/2009/9/main" uri="{725AE2AE-9491-48be-B2B4-4EB974FC3084}">
      <x14:pivotCacheDefinition pivotCacheId="185237885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6">
  <r>
    <s v="3231"/>
    <s v="João Silva"/>
    <x v="0"/>
    <x v="0"/>
    <x v="0"/>
    <x v="0"/>
    <x v="0"/>
    <x v="0"/>
    <x v="0"/>
    <x v="0"/>
    <x v="0"/>
    <n v="5"/>
    <n v="60"/>
  </r>
  <r>
    <s v="3232"/>
    <s v="Maria Oliveira"/>
    <x v="1"/>
    <x v="1"/>
    <x v="1"/>
    <x v="1"/>
    <x v="1"/>
    <x v="1"/>
    <x v="1"/>
    <x v="1"/>
    <x v="1"/>
    <n v="0"/>
    <n v="5"/>
  </r>
  <r>
    <s v="3233"/>
    <s v="Lucas Fernandes"/>
    <x v="2"/>
    <x v="2"/>
    <x v="0"/>
    <x v="2"/>
    <x v="2"/>
    <x v="1"/>
    <x v="1"/>
    <x v="0"/>
    <x v="0"/>
    <n v="10"/>
    <n v="20"/>
  </r>
  <r>
    <s v="3234"/>
    <s v="Ana Souza"/>
    <x v="0"/>
    <x v="3"/>
    <x v="1"/>
    <x v="0"/>
    <x v="0"/>
    <x v="0"/>
    <x v="0"/>
    <x v="0"/>
    <x v="0"/>
    <n v="3"/>
    <n v="62"/>
  </r>
  <r>
    <s v="3235"/>
    <s v="Pedro Gonçalves"/>
    <x v="1"/>
    <x v="4"/>
    <x v="0"/>
    <x v="1"/>
    <x v="0"/>
    <x v="1"/>
    <x v="1"/>
    <x v="1"/>
    <x v="1"/>
    <n v="1"/>
    <n v="4"/>
  </r>
  <r>
    <s v="3236"/>
    <s v="Felipe Costa"/>
    <x v="2"/>
    <x v="5"/>
    <x v="1"/>
    <x v="2"/>
    <x v="0"/>
    <x v="1"/>
    <x v="1"/>
    <x v="0"/>
    <x v="0"/>
    <n v="2"/>
    <n v="28"/>
  </r>
  <r>
    <s v="3237"/>
    <s v="Camila Ribeiro"/>
    <x v="0"/>
    <x v="6"/>
    <x v="0"/>
    <x v="0"/>
    <x v="2"/>
    <x v="0"/>
    <x v="0"/>
    <x v="0"/>
    <x v="0"/>
    <n v="10"/>
    <n v="55"/>
  </r>
  <r>
    <s v="3238"/>
    <s v="André Mendes"/>
    <x v="1"/>
    <x v="7"/>
    <x v="0"/>
    <x v="1"/>
    <x v="1"/>
    <x v="1"/>
    <x v="1"/>
    <x v="1"/>
    <x v="1"/>
    <n v="0"/>
    <n v="5"/>
  </r>
  <r>
    <s v="3239"/>
    <s v="Sofia Almeida"/>
    <x v="0"/>
    <x v="4"/>
    <x v="1"/>
    <x v="0"/>
    <x v="0"/>
    <x v="0"/>
    <x v="0"/>
    <x v="0"/>
    <x v="0"/>
    <n v="5"/>
    <n v="60"/>
  </r>
  <r>
    <s v="3240"/>
    <s v="Bruno Martins"/>
    <x v="2"/>
    <x v="8"/>
    <x v="0"/>
    <x v="2"/>
    <x v="2"/>
    <x v="1"/>
    <x v="1"/>
    <x v="0"/>
    <x v="0"/>
    <n v="15"/>
    <n v="15"/>
  </r>
  <r>
    <s v="3241"/>
    <s v="Rita Castro"/>
    <x v="1"/>
    <x v="9"/>
    <x v="1"/>
    <x v="1"/>
    <x v="0"/>
    <x v="1"/>
    <x v="1"/>
    <x v="1"/>
    <x v="1"/>
    <n v="1"/>
    <n v="4"/>
  </r>
  <r>
    <s v="3242"/>
    <s v="Marco Túlio"/>
    <x v="0"/>
    <x v="10"/>
    <x v="0"/>
    <x v="0"/>
    <x v="1"/>
    <x v="0"/>
    <x v="0"/>
    <x v="0"/>
    <x v="0"/>
    <n v="20"/>
    <n v="45"/>
  </r>
  <r>
    <s v="3243"/>
    <s v="Lívia Silveira"/>
    <x v="2"/>
    <x v="11"/>
    <x v="1"/>
    <x v="2"/>
    <x v="0"/>
    <x v="1"/>
    <x v="1"/>
    <x v="0"/>
    <x v="0"/>
    <n v="10"/>
    <n v="20"/>
  </r>
  <r>
    <s v="3244"/>
    <s v="Diogo Sousa"/>
    <x v="1"/>
    <x v="12"/>
    <x v="0"/>
    <x v="1"/>
    <x v="2"/>
    <x v="1"/>
    <x v="1"/>
    <x v="1"/>
    <x v="1"/>
    <n v="0"/>
    <n v="5"/>
  </r>
  <r>
    <s v="3245"/>
    <s v="Fernanda Lima"/>
    <x v="0"/>
    <x v="13"/>
    <x v="1"/>
    <x v="0"/>
    <x v="0"/>
    <x v="0"/>
    <x v="0"/>
    <x v="0"/>
    <x v="0"/>
    <n v="8"/>
    <n v="57"/>
  </r>
  <r>
    <s v="3246"/>
    <s v="Caio Pereira"/>
    <x v="2"/>
    <x v="14"/>
    <x v="0"/>
    <x v="2"/>
    <x v="1"/>
    <x v="1"/>
    <x v="1"/>
    <x v="0"/>
    <x v="0"/>
    <n v="12"/>
    <n v="18"/>
  </r>
  <r>
    <s v="3247"/>
    <s v="Beatriz Gomes"/>
    <x v="1"/>
    <x v="15"/>
    <x v="1"/>
    <x v="1"/>
    <x v="0"/>
    <x v="1"/>
    <x v="1"/>
    <x v="1"/>
    <x v="1"/>
    <n v="2"/>
    <n v="3"/>
  </r>
  <r>
    <s v="3248"/>
    <s v="Cesar Oliveira"/>
    <x v="0"/>
    <x v="16"/>
    <x v="0"/>
    <x v="0"/>
    <x v="2"/>
    <x v="0"/>
    <x v="0"/>
    <x v="0"/>
    <x v="0"/>
    <n v="7"/>
    <n v="58"/>
  </r>
  <r>
    <s v="3249"/>
    <s v="Débora Machado"/>
    <x v="2"/>
    <x v="17"/>
    <x v="1"/>
    <x v="2"/>
    <x v="0"/>
    <x v="1"/>
    <x v="1"/>
    <x v="0"/>
    <x v="0"/>
    <n v="5"/>
    <n v="25"/>
  </r>
  <r>
    <s v="3250"/>
    <s v="Eduardo Vargas"/>
    <x v="1"/>
    <x v="18"/>
    <x v="0"/>
    <x v="1"/>
    <x v="1"/>
    <x v="1"/>
    <x v="1"/>
    <x v="1"/>
    <x v="1"/>
    <n v="0"/>
    <n v="5"/>
  </r>
  <r>
    <s v="3251"/>
    <s v="Gabriela Santos"/>
    <x v="0"/>
    <x v="19"/>
    <x v="1"/>
    <x v="0"/>
    <x v="0"/>
    <x v="0"/>
    <x v="0"/>
    <x v="0"/>
    <x v="0"/>
    <n v="3"/>
    <n v="62"/>
  </r>
  <r>
    <s v="3252"/>
    <s v="Henrique Dias"/>
    <x v="2"/>
    <x v="20"/>
    <x v="0"/>
    <x v="2"/>
    <x v="2"/>
    <x v="1"/>
    <x v="1"/>
    <x v="0"/>
    <x v="0"/>
    <n v="15"/>
    <n v="15"/>
  </r>
  <r>
    <s v="3253"/>
    <s v="Isabela Moreira"/>
    <x v="1"/>
    <x v="21"/>
    <x v="1"/>
    <x v="1"/>
    <x v="0"/>
    <x v="1"/>
    <x v="1"/>
    <x v="1"/>
    <x v="1"/>
    <n v="1"/>
    <n v="4"/>
  </r>
  <r>
    <s v="3254"/>
    <s v="Joaquim Barbosa"/>
    <x v="0"/>
    <x v="22"/>
    <x v="0"/>
    <x v="0"/>
    <x v="1"/>
    <x v="0"/>
    <x v="0"/>
    <x v="0"/>
    <x v="0"/>
    <n v="20"/>
    <n v="45"/>
  </r>
  <r>
    <s v="3255"/>
    <s v="Lara Rocha"/>
    <x v="2"/>
    <x v="23"/>
    <x v="1"/>
    <x v="2"/>
    <x v="0"/>
    <x v="1"/>
    <x v="1"/>
    <x v="0"/>
    <x v="0"/>
    <n v="10"/>
    <n v="20"/>
  </r>
  <r>
    <s v="3256"/>
    <s v="Matheus Silva"/>
    <x v="1"/>
    <x v="24"/>
    <x v="0"/>
    <x v="1"/>
    <x v="2"/>
    <x v="1"/>
    <x v="1"/>
    <x v="1"/>
    <x v="1"/>
    <n v="0"/>
    <n v="5"/>
  </r>
  <r>
    <s v="3257"/>
    <s v="Nicole Costa"/>
    <x v="0"/>
    <x v="25"/>
    <x v="1"/>
    <x v="0"/>
    <x v="0"/>
    <x v="0"/>
    <x v="0"/>
    <x v="0"/>
    <x v="0"/>
    <n v="5"/>
    <n v="60"/>
  </r>
  <r>
    <s v="3258"/>
    <s v="Otávio Mendonça"/>
    <x v="2"/>
    <x v="26"/>
    <x v="0"/>
    <x v="2"/>
    <x v="1"/>
    <x v="1"/>
    <x v="1"/>
    <x v="0"/>
    <x v="0"/>
    <n v="15"/>
    <n v="15"/>
  </r>
  <r>
    <s v="3259"/>
    <s v="Paula Ferreira"/>
    <x v="1"/>
    <x v="27"/>
    <x v="1"/>
    <x v="1"/>
    <x v="0"/>
    <x v="1"/>
    <x v="1"/>
    <x v="1"/>
    <x v="1"/>
    <n v="1"/>
    <n v="4"/>
  </r>
  <r>
    <s v="3260"/>
    <s v="Raquel Alves"/>
    <x v="0"/>
    <x v="28"/>
    <x v="0"/>
    <x v="0"/>
    <x v="2"/>
    <x v="0"/>
    <x v="0"/>
    <x v="0"/>
    <x v="0"/>
    <n v="7"/>
    <n v="58"/>
  </r>
  <r>
    <s v="3261"/>
    <s v="Samuel Pires"/>
    <x v="2"/>
    <x v="29"/>
    <x v="1"/>
    <x v="2"/>
    <x v="0"/>
    <x v="1"/>
    <x v="1"/>
    <x v="0"/>
    <x v="0"/>
    <n v="10"/>
    <n v="20"/>
  </r>
  <r>
    <s v="3262"/>
    <s v="Tânia Barros"/>
    <x v="1"/>
    <x v="30"/>
    <x v="0"/>
    <x v="1"/>
    <x v="1"/>
    <x v="1"/>
    <x v="1"/>
    <x v="1"/>
    <x v="1"/>
    <n v="0"/>
    <n v="5"/>
  </r>
  <r>
    <s v="3263"/>
    <s v="Vinicius Lima"/>
    <x v="0"/>
    <x v="31"/>
    <x v="1"/>
    <x v="0"/>
    <x v="0"/>
    <x v="0"/>
    <x v="0"/>
    <x v="0"/>
    <x v="0"/>
    <n v="3"/>
    <n v="62"/>
  </r>
  <r>
    <s v="3264"/>
    <s v="Yasmin Teixeira"/>
    <x v="2"/>
    <x v="32"/>
    <x v="0"/>
    <x v="2"/>
    <x v="2"/>
    <x v="1"/>
    <x v="1"/>
    <x v="0"/>
    <x v="0"/>
    <n v="15"/>
    <n v="15"/>
  </r>
  <r>
    <s v="3265"/>
    <s v="Zé Carlos"/>
    <x v="1"/>
    <x v="33"/>
    <x v="1"/>
    <x v="1"/>
    <x v="0"/>
    <x v="1"/>
    <x v="1"/>
    <x v="1"/>
    <x v="1"/>
    <n v="1"/>
    <n v="4"/>
  </r>
  <r>
    <s v="3266"/>
    <s v="Amanda Nogueira"/>
    <x v="1"/>
    <x v="34"/>
    <x v="0"/>
    <x v="1"/>
    <x v="0"/>
    <x v="1"/>
    <x v="1"/>
    <x v="1"/>
    <x v="1"/>
    <n v="0"/>
    <n v="5"/>
  </r>
  <r>
    <s v="3267"/>
    <s v="Bruno Cavalheiro"/>
    <x v="0"/>
    <x v="35"/>
    <x v="1"/>
    <x v="0"/>
    <x v="2"/>
    <x v="0"/>
    <x v="0"/>
    <x v="0"/>
    <x v="0"/>
    <n v="7"/>
    <n v="58"/>
  </r>
  <r>
    <s v="3268"/>
    <s v="Carla Dias"/>
    <x v="2"/>
    <x v="36"/>
    <x v="0"/>
    <x v="2"/>
    <x v="1"/>
    <x v="1"/>
    <x v="1"/>
    <x v="0"/>
    <x v="0"/>
    <n v="10"/>
    <n v="20"/>
  </r>
  <r>
    <s v="3269"/>
    <s v="Diego Fontes"/>
    <x v="1"/>
    <x v="37"/>
    <x v="1"/>
    <x v="1"/>
    <x v="2"/>
    <x v="1"/>
    <x v="1"/>
    <x v="1"/>
    <x v="1"/>
    <n v="1"/>
    <n v="4"/>
  </r>
  <r>
    <s v="3270"/>
    <s v="Eunice Lima"/>
    <x v="0"/>
    <x v="38"/>
    <x v="0"/>
    <x v="0"/>
    <x v="0"/>
    <x v="0"/>
    <x v="0"/>
    <x v="0"/>
    <x v="0"/>
    <n v="15"/>
    <n v="50"/>
  </r>
  <r>
    <s v="3271"/>
    <s v="Fábio Martins"/>
    <x v="2"/>
    <x v="39"/>
    <x v="1"/>
    <x v="2"/>
    <x v="0"/>
    <x v="1"/>
    <x v="1"/>
    <x v="0"/>
    <x v="0"/>
    <n v="5"/>
    <n v="25"/>
  </r>
  <r>
    <s v="3272"/>
    <s v="Gisele Araújo"/>
    <x v="1"/>
    <x v="40"/>
    <x v="0"/>
    <x v="1"/>
    <x v="1"/>
    <x v="1"/>
    <x v="1"/>
    <x v="1"/>
    <x v="1"/>
    <n v="0"/>
    <n v="5"/>
  </r>
  <r>
    <s v="3273"/>
    <s v="Hélio Castro"/>
    <x v="0"/>
    <x v="41"/>
    <x v="1"/>
    <x v="0"/>
    <x v="2"/>
    <x v="0"/>
    <x v="0"/>
    <x v="0"/>
    <x v="0"/>
    <n v="20"/>
    <n v="45"/>
  </r>
  <r>
    <s v="3274"/>
    <s v="Ingrid Menezes"/>
    <x v="2"/>
    <x v="42"/>
    <x v="0"/>
    <x v="2"/>
    <x v="2"/>
    <x v="1"/>
    <x v="1"/>
    <x v="0"/>
    <x v="0"/>
    <n v="12"/>
    <n v="18"/>
  </r>
  <r>
    <s v="3275"/>
    <s v="Jorge Baptista"/>
    <x v="1"/>
    <x v="43"/>
    <x v="1"/>
    <x v="1"/>
    <x v="0"/>
    <x v="1"/>
    <x v="1"/>
    <x v="1"/>
    <x v="1"/>
    <n v="2"/>
    <n v="3"/>
  </r>
  <r>
    <s v="3276"/>
    <s v="Kléber Oliveira"/>
    <x v="0"/>
    <x v="44"/>
    <x v="0"/>
    <x v="0"/>
    <x v="1"/>
    <x v="0"/>
    <x v="0"/>
    <x v="0"/>
    <x v="0"/>
    <n v="5"/>
    <n v="60"/>
  </r>
  <r>
    <s v="3277"/>
    <s v="Luciana Freitas"/>
    <x v="2"/>
    <x v="45"/>
    <x v="1"/>
    <x v="2"/>
    <x v="0"/>
    <x v="1"/>
    <x v="1"/>
    <x v="0"/>
    <x v="0"/>
    <n v="10"/>
    <n v="20"/>
  </r>
  <r>
    <s v="3278"/>
    <s v="Márcia Eller"/>
    <x v="1"/>
    <x v="46"/>
    <x v="0"/>
    <x v="1"/>
    <x v="2"/>
    <x v="1"/>
    <x v="1"/>
    <x v="1"/>
    <x v="1"/>
    <n v="0"/>
    <n v="5"/>
  </r>
  <r>
    <s v="3279"/>
    <s v="Nilo Peçanha"/>
    <x v="0"/>
    <x v="47"/>
    <x v="1"/>
    <x v="0"/>
    <x v="0"/>
    <x v="0"/>
    <x v="0"/>
    <x v="0"/>
    <x v="0"/>
    <n v="3"/>
    <n v="62"/>
  </r>
  <r>
    <s v="3280"/>
    <s v="Oscar Neves"/>
    <x v="2"/>
    <x v="48"/>
    <x v="0"/>
    <x v="2"/>
    <x v="1"/>
    <x v="1"/>
    <x v="1"/>
    <x v="0"/>
    <x v="0"/>
    <n v="15"/>
    <n v="15"/>
  </r>
  <r>
    <s v="3281"/>
    <s v="Patrícia Soares"/>
    <x v="1"/>
    <x v="49"/>
    <x v="1"/>
    <x v="1"/>
    <x v="0"/>
    <x v="1"/>
    <x v="1"/>
    <x v="1"/>
    <x v="1"/>
    <n v="1"/>
    <n v="4"/>
  </r>
  <r>
    <s v="3282"/>
    <s v="Quirino Gonçalves"/>
    <x v="0"/>
    <x v="50"/>
    <x v="0"/>
    <x v="0"/>
    <x v="2"/>
    <x v="0"/>
    <x v="0"/>
    <x v="0"/>
    <x v="0"/>
    <n v="7"/>
    <n v="58"/>
  </r>
  <r>
    <s v="3283"/>
    <s v="Raul Machado"/>
    <x v="2"/>
    <x v="51"/>
    <x v="1"/>
    <x v="2"/>
    <x v="0"/>
    <x v="1"/>
    <x v="1"/>
    <x v="0"/>
    <x v="0"/>
    <n v="10"/>
    <n v="20"/>
  </r>
  <r>
    <s v="3284"/>
    <s v="Sônia Lobo"/>
    <x v="1"/>
    <x v="52"/>
    <x v="0"/>
    <x v="1"/>
    <x v="1"/>
    <x v="1"/>
    <x v="1"/>
    <x v="1"/>
    <x v="1"/>
    <n v="0"/>
    <n v="5"/>
  </r>
  <r>
    <s v="3285"/>
    <s v="Tiago Ramos"/>
    <x v="0"/>
    <x v="53"/>
    <x v="1"/>
    <x v="0"/>
    <x v="0"/>
    <x v="0"/>
    <x v="0"/>
    <x v="0"/>
    <x v="0"/>
    <n v="20"/>
    <n v="45"/>
  </r>
  <r>
    <s v="3286"/>
    <s v="Ugo Pires"/>
    <x v="2"/>
    <x v="54"/>
    <x v="0"/>
    <x v="2"/>
    <x v="2"/>
    <x v="1"/>
    <x v="1"/>
    <x v="0"/>
    <x v="0"/>
    <n v="15"/>
    <n v="15"/>
  </r>
  <r>
    <s v="3287"/>
    <s v="Valéria Nobre"/>
    <x v="1"/>
    <x v="55"/>
    <x v="1"/>
    <x v="1"/>
    <x v="0"/>
    <x v="1"/>
    <x v="1"/>
    <x v="1"/>
    <x v="1"/>
    <n v="1"/>
    <n v="4"/>
  </r>
  <r>
    <s v="3288"/>
    <s v="William Siqueira"/>
    <x v="0"/>
    <x v="56"/>
    <x v="0"/>
    <x v="0"/>
    <x v="1"/>
    <x v="0"/>
    <x v="0"/>
    <x v="0"/>
    <x v="0"/>
    <n v="3"/>
    <n v="62"/>
  </r>
  <r>
    <s v="3289"/>
    <s v="Xuxa Meneghel"/>
    <x v="2"/>
    <x v="57"/>
    <x v="1"/>
    <x v="2"/>
    <x v="0"/>
    <x v="1"/>
    <x v="1"/>
    <x v="0"/>
    <x v="0"/>
    <n v="10"/>
    <n v="20"/>
  </r>
  <r>
    <s v="3290"/>
    <s v="Yara Figueiredo"/>
    <x v="1"/>
    <x v="58"/>
    <x v="0"/>
    <x v="1"/>
    <x v="2"/>
    <x v="1"/>
    <x v="1"/>
    <x v="1"/>
    <x v="1"/>
    <n v="0"/>
    <n v="5"/>
  </r>
  <r>
    <s v="3291"/>
    <s v="Zacarias Alves"/>
    <x v="0"/>
    <x v="59"/>
    <x v="1"/>
    <x v="0"/>
    <x v="0"/>
    <x v="0"/>
    <x v="0"/>
    <x v="0"/>
    <x v="0"/>
    <n v="5"/>
    <n v="60"/>
  </r>
  <r>
    <s v="3292"/>
    <s v="Amanda Bynes"/>
    <x v="2"/>
    <x v="60"/>
    <x v="0"/>
    <x v="2"/>
    <x v="1"/>
    <x v="1"/>
    <x v="1"/>
    <x v="0"/>
    <x v="0"/>
    <n v="15"/>
    <n v="15"/>
  </r>
  <r>
    <s v="3293"/>
    <s v="Bruno Mars"/>
    <x v="1"/>
    <x v="61"/>
    <x v="1"/>
    <x v="1"/>
    <x v="0"/>
    <x v="1"/>
    <x v="1"/>
    <x v="1"/>
    <x v="1"/>
    <n v="1"/>
    <n v="4"/>
  </r>
  <r>
    <s v="3294"/>
    <s v="Carla Bruni"/>
    <x v="0"/>
    <x v="62"/>
    <x v="0"/>
    <x v="0"/>
    <x v="2"/>
    <x v="0"/>
    <x v="0"/>
    <x v="0"/>
    <x v="0"/>
    <n v="20"/>
    <n v="45"/>
  </r>
  <r>
    <s v="3295"/>
    <s v="Diego Maradona"/>
    <x v="2"/>
    <x v="63"/>
    <x v="1"/>
    <x v="2"/>
    <x v="0"/>
    <x v="1"/>
    <x v="1"/>
    <x v="0"/>
    <x v="0"/>
    <n v="5"/>
    <n v="25"/>
  </r>
  <r>
    <s v="3296"/>
    <s v="Estela Marques"/>
    <x v="1"/>
    <x v="64"/>
    <x v="1"/>
    <x v="1"/>
    <x v="0"/>
    <x v="1"/>
    <x v="1"/>
    <x v="1"/>
    <x v="1"/>
    <n v="0"/>
    <n v="5"/>
  </r>
  <r>
    <s v="3297"/>
    <s v="Fábio Nobre"/>
    <x v="0"/>
    <x v="65"/>
    <x v="0"/>
    <x v="0"/>
    <x v="2"/>
    <x v="0"/>
    <x v="0"/>
    <x v="0"/>
    <x v="0"/>
    <n v="7"/>
    <n v="58"/>
  </r>
  <r>
    <s v="3298"/>
    <s v="Gabriel Oliveira"/>
    <x v="2"/>
    <x v="66"/>
    <x v="1"/>
    <x v="2"/>
    <x v="1"/>
    <x v="1"/>
    <x v="1"/>
    <x v="0"/>
    <x v="0"/>
    <n v="10"/>
    <n v="20"/>
  </r>
  <r>
    <s v="3299"/>
    <s v="Helena Santos"/>
    <x v="1"/>
    <x v="67"/>
    <x v="0"/>
    <x v="1"/>
    <x v="2"/>
    <x v="1"/>
    <x v="1"/>
    <x v="1"/>
    <x v="1"/>
    <n v="1"/>
    <n v="4"/>
  </r>
  <r>
    <s v="3300"/>
    <s v="Ivan Carvalho"/>
    <x v="0"/>
    <x v="68"/>
    <x v="1"/>
    <x v="0"/>
    <x v="0"/>
    <x v="0"/>
    <x v="0"/>
    <x v="0"/>
    <x v="0"/>
    <n v="15"/>
    <n v="50"/>
  </r>
  <r>
    <s v="3301"/>
    <s v="Júlia Ferreira"/>
    <x v="2"/>
    <x v="69"/>
    <x v="0"/>
    <x v="2"/>
    <x v="0"/>
    <x v="1"/>
    <x v="1"/>
    <x v="0"/>
    <x v="0"/>
    <n v="5"/>
    <n v="25"/>
  </r>
  <r>
    <s v="3302"/>
    <s v="Karla Alves"/>
    <x v="1"/>
    <x v="70"/>
    <x v="1"/>
    <x v="1"/>
    <x v="1"/>
    <x v="1"/>
    <x v="1"/>
    <x v="1"/>
    <x v="1"/>
    <n v="0"/>
    <n v="5"/>
  </r>
  <r>
    <s v="3303"/>
    <s v="Lucas Mendes"/>
    <x v="0"/>
    <x v="71"/>
    <x v="0"/>
    <x v="0"/>
    <x v="2"/>
    <x v="0"/>
    <x v="0"/>
    <x v="0"/>
    <x v="0"/>
    <n v="20"/>
    <n v="45"/>
  </r>
  <r>
    <s v="3304"/>
    <s v="Mônica Gomes"/>
    <x v="2"/>
    <x v="72"/>
    <x v="1"/>
    <x v="2"/>
    <x v="2"/>
    <x v="1"/>
    <x v="1"/>
    <x v="0"/>
    <x v="0"/>
    <n v="12"/>
    <n v="18"/>
  </r>
  <r>
    <s v="3305"/>
    <s v="Norberto Queiroz"/>
    <x v="1"/>
    <x v="73"/>
    <x v="0"/>
    <x v="1"/>
    <x v="0"/>
    <x v="1"/>
    <x v="1"/>
    <x v="1"/>
    <x v="1"/>
    <n v="2"/>
    <n v="3"/>
  </r>
  <r>
    <s v="3306"/>
    <s v="Otávio Barros"/>
    <x v="0"/>
    <x v="74"/>
    <x v="1"/>
    <x v="0"/>
    <x v="1"/>
    <x v="0"/>
    <x v="0"/>
    <x v="0"/>
    <x v="0"/>
    <n v="5"/>
    <n v="60"/>
  </r>
  <r>
    <s v="3307"/>
    <s v="Paula Vieira"/>
    <x v="2"/>
    <x v="75"/>
    <x v="0"/>
    <x v="2"/>
    <x v="0"/>
    <x v="1"/>
    <x v="1"/>
    <x v="0"/>
    <x v="0"/>
    <n v="10"/>
    <n v="20"/>
  </r>
  <r>
    <s v="3308"/>
    <s v="Quentin Ramos"/>
    <x v="1"/>
    <x v="76"/>
    <x v="1"/>
    <x v="1"/>
    <x v="2"/>
    <x v="1"/>
    <x v="1"/>
    <x v="1"/>
    <x v="1"/>
    <n v="0"/>
    <n v="5"/>
  </r>
  <r>
    <s v="3309"/>
    <s v="Raquel Novaes"/>
    <x v="0"/>
    <x v="77"/>
    <x v="0"/>
    <x v="0"/>
    <x v="0"/>
    <x v="0"/>
    <x v="0"/>
    <x v="0"/>
    <x v="0"/>
    <n v="3"/>
    <n v="62"/>
  </r>
  <r>
    <s v="3310"/>
    <s v="Samantha Lopes"/>
    <x v="2"/>
    <x v="78"/>
    <x v="1"/>
    <x v="2"/>
    <x v="1"/>
    <x v="1"/>
    <x v="1"/>
    <x v="0"/>
    <x v="0"/>
    <n v="15"/>
    <n v="15"/>
  </r>
  <r>
    <s v="3311"/>
    <s v="Tiago Martins"/>
    <x v="1"/>
    <x v="79"/>
    <x v="0"/>
    <x v="1"/>
    <x v="0"/>
    <x v="1"/>
    <x v="1"/>
    <x v="1"/>
    <x v="1"/>
    <n v="1"/>
    <n v="4"/>
  </r>
  <r>
    <s v="3312"/>
    <s v="Ulysses Guimarães"/>
    <x v="0"/>
    <x v="80"/>
    <x v="1"/>
    <x v="0"/>
    <x v="2"/>
    <x v="0"/>
    <x v="0"/>
    <x v="0"/>
    <x v="0"/>
    <n v="7"/>
    <n v="58"/>
  </r>
  <r>
    <s v="3313"/>
    <s v="Vanessa Silva"/>
    <x v="2"/>
    <x v="81"/>
    <x v="0"/>
    <x v="2"/>
    <x v="0"/>
    <x v="1"/>
    <x v="1"/>
    <x v="0"/>
    <x v="0"/>
    <n v="10"/>
    <n v="20"/>
  </r>
  <r>
    <s v="3314"/>
    <s v="William Carneiro"/>
    <x v="1"/>
    <x v="82"/>
    <x v="1"/>
    <x v="1"/>
    <x v="1"/>
    <x v="1"/>
    <x v="1"/>
    <x v="1"/>
    <x v="1"/>
    <n v="0"/>
    <n v="5"/>
  </r>
  <r>
    <s v="3315"/>
    <s v="Ximena Rocha"/>
    <x v="0"/>
    <x v="83"/>
    <x v="0"/>
    <x v="0"/>
    <x v="0"/>
    <x v="0"/>
    <x v="0"/>
    <x v="0"/>
    <x v="0"/>
    <n v="20"/>
    <n v="45"/>
  </r>
  <r>
    <s v="3316"/>
    <s v="Yasmin Figueiredo"/>
    <x v="2"/>
    <x v="84"/>
    <x v="1"/>
    <x v="2"/>
    <x v="2"/>
    <x v="1"/>
    <x v="1"/>
    <x v="0"/>
    <x v="0"/>
    <n v="15"/>
    <n v="15"/>
  </r>
  <r>
    <s v="3317"/>
    <s v="Zara Cunha"/>
    <x v="1"/>
    <x v="85"/>
    <x v="0"/>
    <x v="1"/>
    <x v="0"/>
    <x v="1"/>
    <x v="1"/>
    <x v="1"/>
    <x v="1"/>
    <n v="1"/>
    <n v="4"/>
  </r>
  <r>
    <s v="3318"/>
    <s v="Alan Teixeira"/>
    <x v="0"/>
    <x v="86"/>
    <x v="1"/>
    <x v="0"/>
    <x v="1"/>
    <x v="0"/>
    <x v="0"/>
    <x v="0"/>
    <x v="0"/>
    <n v="3"/>
    <n v="62"/>
  </r>
  <r>
    <s v="3319"/>
    <s v="Bárbara Oliveira"/>
    <x v="2"/>
    <x v="87"/>
    <x v="0"/>
    <x v="2"/>
    <x v="0"/>
    <x v="1"/>
    <x v="1"/>
    <x v="0"/>
    <x v="0"/>
    <n v="10"/>
    <n v="20"/>
  </r>
  <r>
    <s v="3320"/>
    <s v="Carlos Junqueira"/>
    <x v="1"/>
    <x v="88"/>
    <x v="1"/>
    <x v="1"/>
    <x v="2"/>
    <x v="1"/>
    <x v="1"/>
    <x v="1"/>
    <x v="1"/>
    <n v="0"/>
    <n v="5"/>
  </r>
  <r>
    <s v="3321"/>
    <s v="Daniela Moura"/>
    <x v="0"/>
    <x v="89"/>
    <x v="0"/>
    <x v="0"/>
    <x v="0"/>
    <x v="0"/>
    <x v="0"/>
    <x v="0"/>
    <x v="0"/>
    <n v="5"/>
    <n v="60"/>
  </r>
  <r>
    <s v="3322"/>
    <s v="Eduardo Lima"/>
    <x v="2"/>
    <x v="90"/>
    <x v="1"/>
    <x v="2"/>
    <x v="1"/>
    <x v="1"/>
    <x v="1"/>
    <x v="0"/>
    <x v="0"/>
    <n v="15"/>
    <n v="15"/>
  </r>
  <r>
    <s v="3323"/>
    <s v="Fabiana Araújo"/>
    <x v="1"/>
    <x v="91"/>
    <x v="0"/>
    <x v="1"/>
    <x v="0"/>
    <x v="1"/>
    <x v="1"/>
    <x v="1"/>
    <x v="1"/>
    <n v="1"/>
    <n v="4"/>
  </r>
  <r>
    <s v="3324"/>
    <s v="Geraldo Ribeiro"/>
    <x v="0"/>
    <x v="92"/>
    <x v="1"/>
    <x v="0"/>
    <x v="2"/>
    <x v="0"/>
    <x v="0"/>
    <x v="0"/>
    <x v="0"/>
    <n v="20"/>
    <n v="45"/>
  </r>
  <r>
    <s v="3325"/>
    <s v="Héctor Vargas"/>
    <x v="2"/>
    <x v="93"/>
    <x v="0"/>
    <x v="2"/>
    <x v="2"/>
    <x v="1"/>
    <x v="1"/>
    <x v="0"/>
    <x v="0"/>
    <n v="15"/>
    <n v="15"/>
  </r>
  <r>
    <s v="3326"/>
    <s v="Isabela Fonseca"/>
    <x v="1"/>
    <x v="94"/>
    <x v="1"/>
    <x v="1"/>
    <x v="1"/>
    <x v="1"/>
    <x v="1"/>
    <x v="1"/>
    <x v="1"/>
    <n v="0"/>
    <n v="5"/>
  </r>
  <r>
    <s v="3327"/>
    <s v="João Pedro Almeida"/>
    <x v="0"/>
    <x v="95"/>
    <x v="0"/>
    <x v="0"/>
    <x v="0"/>
    <x v="0"/>
    <x v="0"/>
    <x v="0"/>
    <x v="0"/>
    <n v="7"/>
    <n v="58"/>
  </r>
  <r>
    <s v="3328"/>
    <s v="Klara Costa"/>
    <x v="2"/>
    <x v="96"/>
    <x v="1"/>
    <x v="2"/>
    <x v="1"/>
    <x v="1"/>
    <x v="1"/>
    <x v="0"/>
    <x v="0"/>
    <n v="10"/>
    <n v="20"/>
  </r>
  <r>
    <s v="3329"/>
    <s v="Luciana Mendes"/>
    <x v="1"/>
    <x v="97"/>
    <x v="0"/>
    <x v="1"/>
    <x v="2"/>
    <x v="1"/>
    <x v="1"/>
    <x v="1"/>
    <x v="1"/>
    <n v="1"/>
    <n v="4"/>
  </r>
  <r>
    <s v="3330"/>
    <s v="Marcelo Gouveia"/>
    <x v="0"/>
    <x v="98"/>
    <x v="1"/>
    <x v="0"/>
    <x v="0"/>
    <x v="0"/>
    <x v="0"/>
    <x v="0"/>
    <x v="0"/>
    <n v="15"/>
    <n v="50"/>
  </r>
  <r>
    <s v="3331"/>
    <s v="Nívea Borges"/>
    <x v="2"/>
    <x v="99"/>
    <x v="0"/>
    <x v="2"/>
    <x v="0"/>
    <x v="1"/>
    <x v="1"/>
    <x v="0"/>
    <x v="0"/>
    <n v="5"/>
    <n v="25"/>
  </r>
  <r>
    <s v="3332"/>
    <s v="Oscar Nogueira"/>
    <x v="1"/>
    <x v="100"/>
    <x v="1"/>
    <x v="1"/>
    <x v="1"/>
    <x v="1"/>
    <x v="1"/>
    <x v="1"/>
    <x v="1"/>
    <n v="0"/>
    <n v="5"/>
  </r>
  <r>
    <s v="3333"/>
    <s v="Patrícia Alves"/>
    <x v="0"/>
    <x v="101"/>
    <x v="0"/>
    <x v="0"/>
    <x v="2"/>
    <x v="0"/>
    <x v="0"/>
    <x v="0"/>
    <x v="0"/>
    <n v="20"/>
    <n v="45"/>
  </r>
  <r>
    <s v="3334"/>
    <s v="Rafaela Silva"/>
    <x v="2"/>
    <x v="102"/>
    <x v="1"/>
    <x v="2"/>
    <x v="2"/>
    <x v="1"/>
    <x v="1"/>
    <x v="0"/>
    <x v="0"/>
    <n v="12"/>
    <n v="18"/>
  </r>
  <r>
    <s v="3335"/>
    <s v="Samantha Moraes"/>
    <x v="1"/>
    <x v="103"/>
    <x v="0"/>
    <x v="1"/>
    <x v="0"/>
    <x v="1"/>
    <x v="1"/>
    <x v="1"/>
    <x v="1"/>
    <n v="2"/>
    <n v="3"/>
  </r>
  <r>
    <s v="3336"/>
    <s v="Tatiana Rocha"/>
    <x v="1"/>
    <x v="104"/>
    <x v="0"/>
    <x v="1"/>
    <x v="0"/>
    <x v="1"/>
    <x v="1"/>
    <x v="1"/>
    <x v="1"/>
    <n v="0"/>
    <n v="5"/>
  </r>
  <r>
    <s v="3337"/>
    <s v="Ulisses Tavares"/>
    <x v="0"/>
    <x v="105"/>
    <x v="1"/>
    <x v="0"/>
    <x v="2"/>
    <x v="0"/>
    <x v="0"/>
    <x v="0"/>
    <x v="0"/>
    <n v="7"/>
    <n v="58"/>
  </r>
  <r>
    <s v="3338"/>
    <s v="Víctor Lemos"/>
    <x v="2"/>
    <x v="106"/>
    <x v="0"/>
    <x v="2"/>
    <x v="1"/>
    <x v="1"/>
    <x v="1"/>
    <x v="0"/>
    <x v="0"/>
    <n v="10"/>
    <n v="20"/>
  </r>
  <r>
    <s v="3339"/>
    <s v="Wilma Barros"/>
    <x v="1"/>
    <x v="107"/>
    <x v="1"/>
    <x v="1"/>
    <x v="2"/>
    <x v="1"/>
    <x v="1"/>
    <x v="1"/>
    <x v="1"/>
    <n v="1"/>
    <n v="4"/>
  </r>
  <r>
    <s v="3340"/>
    <s v="Xavier Nascimento"/>
    <x v="0"/>
    <x v="108"/>
    <x v="0"/>
    <x v="0"/>
    <x v="0"/>
    <x v="0"/>
    <x v="0"/>
    <x v="0"/>
    <x v="0"/>
    <n v="15"/>
    <n v="50"/>
  </r>
  <r>
    <s v="3341"/>
    <s v="Yago Pereira"/>
    <x v="2"/>
    <x v="109"/>
    <x v="1"/>
    <x v="2"/>
    <x v="0"/>
    <x v="1"/>
    <x v="1"/>
    <x v="0"/>
    <x v="0"/>
    <n v="5"/>
    <n v="25"/>
  </r>
  <r>
    <s v="3342"/>
    <s v="Zilda Ferreira"/>
    <x v="1"/>
    <x v="110"/>
    <x v="0"/>
    <x v="1"/>
    <x v="1"/>
    <x v="1"/>
    <x v="1"/>
    <x v="1"/>
    <x v="1"/>
    <n v="0"/>
    <n v="5"/>
  </r>
  <r>
    <s v="3343"/>
    <s v="Amanda Lopes"/>
    <x v="0"/>
    <x v="111"/>
    <x v="1"/>
    <x v="0"/>
    <x v="2"/>
    <x v="0"/>
    <x v="0"/>
    <x v="0"/>
    <x v="0"/>
    <n v="20"/>
    <n v="45"/>
  </r>
  <r>
    <s v="3344"/>
    <s v="Bruno Miranda"/>
    <x v="2"/>
    <x v="112"/>
    <x v="0"/>
    <x v="2"/>
    <x v="2"/>
    <x v="1"/>
    <x v="1"/>
    <x v="0"/>
    <x v="0"/>
    <n v="12"/>
    <n v="18"/>
  </r>
  <r>
    <s v="3345"/>
    <s v="Célia Torres"/>
    <x v="1"/>
    <x v="113"/>
    <x v="1"/>
    <x v="1"/>
    <x v="0"/>
    <x v="1"/>
    <x v="1"/>
    <x v="1"/>
    <x v="1"/>
    <n v="2"/>
    <n v="3"/>
  </r>
  <r>
    <s v="3346"/>
    <s v="Diogo Souza"/>
    <x v="0"/>
    <x v="114"/>
    <x v="0"/>
    <x v="0"/>
    <x v="1"/>
    <x v="0"/>
    <x v="0"/>
    <x v="0"/>
    <x v="0"/>
    <n v="5"/>
    <n v="60"/>
  </r>
  <r>
    <s v="3347"/>
    <s v="Elisa Castro"/>
    <x v="2"/>
    <x v="115"/>
    <x v="1"/>
    <x v="2"/>
    <x v="0"/>
    <x v="1"/>
    <x v="1"/>
    <x v="0"/>
    <x v="0"/>
    <n v="10"/>
    <n v="20"/>
  </r>
  <r>
    <s v="3348"/>
    <s v="Fátima Lima"/>
    <x v="1"/>
    <x v="116"/>
    <x v="0"/>
    <x v="1"/>
    <x v="2"/>
    <x v="1"/>
    <x v="1"/>
    <x v="1"/>
    <x v="1"/>
    <n v="0"/>
    <n v="5"/>
  </r>
  <r>
    <s v="3349"/>
    <s v="Geraldo Ribeiro"/>
    <x v="0"/>
    <x v="117"/>
    <x v="1"/>
    <x v="0"/>
    <x v="0"/>
    <x v="0"/>
    <x v="0"/>
    <x v="0"/>
    <x v="0"/>
    <n v="3"/>
    <n v="62"/>
  </r>
  <r>
    <s v="3350"/>
    <s v="Hélio Martins"/>
    <x v="2"/>
    <x v="118"/>
    <x v="0"/>
    <x v="2"/>
    <x v="1"/>
    <x v="1"/>
    <x v="1"/>
    <x v="0"/>
    <x v="0"/>
    <n v="15"/>
    <n v="15"/>
  </r>
  <r>
    <s v="3351"/>
    <s v="Íris Santos"/>
    <x v="1"/>
    <x v="119"/>
    <x v="1"/>
    <x v="1"/>
    <x v="0"/>
    <x v="1"/>
    <x v="1"/>
    <x v="1"/>
    <x v="1"/>
    <n v="1"/>
    <n v="4"/>
  </r>
  <r>
    <s v="3352"/>
    <s v="João Marcelo"/>
    <x v="0"/>
    <x v="120"/>
    <x v="0"/>
    <x v="0"/>
    <x v="2"/>
    <x v="0"/>
    <x v="0"/>
    <x v="0"/>
    <x v="0"/>
    <n v="7"/>
    <n v="58"/>
  </r>
  <r>
    <s v="3353"/>
    <s v="Larissa Gomes"/>
    <x v="2"/>
    <x v="121"/>
    <x v="1"/>
    <x v="2"/>
    <x v="0"/>
    <x v="1"/>
    <x v="1"/>
    <x v="0"/>
    <x v="0"/>
    <n v="10"/>
    <n v="20"/>
  </r>
  <r>
    <s v="3354"/>
    <s v="Márcio Silva"/>
    <x v="1"/>
    <x v="122"/>
    <x v="0"/>
    <x v="1"/>
    <x v="1"/>
    <x v="1"/>
    <x v="1"/>
    <x v="1"/>
    <x v="1"/>
    <n v="0"/>
    <n v="5"/>
  </r>
  <r>
    <s v="3355"/>
    <s v="Nadia Costa"/>
    <x v="0"/>
    <x v="123"/>
    <x v="1"/>
    <x v="0"/>
    <x v="0"/>
    <x v="0"/>
    <x v="0"/>
    <x v="0"/>
    <x v="0"/>
    <n v="20"/>
    <n v="45"/>
  </r>
  <r>
    <s v="3356"/>
    <s v="Oscar Almeida"/>
    <x v="2"/>
    <x v="124"/>
    <x v="0"/>
    <x v="2"/>
    <x v="2"/>
    <x v="1"/>
    <x v="1"/>
    <x v="0"/>
    <x v="0"/>
    <n v="15"/>
    <n v="15"/>
  </r>
  <r>
    <s v="3357"/>
    <s v="Patricia Soares"/>
    <x v="1"/>
    <x v="125"/>
    <x v="1"/>
    <x v="1"/>
    <x v="0"/>
    <x v="1"/>
    <x v="1"/>
    <x v="1"/>
    <x v="1"/>
    <n v="1"/>
    <n v="4"/>
  </r>
  <r>
    <s v="3358"/>
    <s v="Quênia Barros"/>
    <x v="0"/>
    <x v="126"/>
    <x v="0"/>
    <x v="0"/>
    <x v="1"/>
    <x v="0"/>
    <x v="0"/>
    <x v="0"/>
    <x v="0"/>
    <n v="3"/>
    <n v="62"/>
  </r>
  <r>
    <s v="3359"/>
    <s v="Rafael Torres"/>
    <x v="2"/>
    <x v="127"/>
    <x v="1"/>
    <x v="2"/>
    <x v="0"/>
    <x v="1"/>
    <x v="1"/>
    <x v="0"/>
    <x v="0"/>
    <n v="10"/>
    <n v="20"/>
  </r>
  <r>
    <s v="3360"/>
    <s v="Silvia Nascimento"/>
    <x v="1"/>
    <x v="128"/>
    <x v="0"/>
    <x v="1"/>
    <x v="2"/>
    <x v="1"/>
    <x v="1"/>
    <x v="1"/>
    <x v="1"/>
    <n v="0"/>
    <n v="5"/>
  </r>
  <r>
    <s v="3361"/>
    <s v="Tiago Mendes"/>
    <x v="0"/>
    <x v="129"/>
    <x v="1"/>
    <x v="0"/>
    <x v="0"/>
    <x v="0"/>
    <x v="0"/>
    <x v="0"/>
    <x v="0"/>
    <n v="15"/>
    <n v="50"/>
  </r>
  <r>
    <s v="3362"/>
    <s v="Ursula Silva"/>
    <x v="2"/>
    <x v="130"/>
    <x v="0"/>
    <x v="2"/>
    <x v="1"/>
    <x v="1"/>
    <x v="1"/>
    <x v="0"/>
    <x v="0"/>
    <n v="15"/>
    <n v="15"/>
  </r>
  <r>
    <s v="3363"/>
    <s v="Vanessa Moraes"/>
    <x v="1"/>
    <x v="131"/>
    <x v="1"/>
    <x v="1"/>
    <x v="0"/>
    <x v="1"/>
    <x v="1"/>
    <x v="1"/>
    <x v="1"/>
    <n v="1"/>
    <n v="4"/>
  </r>
  <r>
    <s v="3364"/>
    <s v="Waldir Junior"/>
    <x v="0"/>
    <x v="132"/>
    <x v="0"/>
    <x v="0"/>
    <x v="2"/>
    <x v="0"/>
    <x v="0"/>
    <x v="0"/>
    <x v="0"/>
    <n v="7"/>
    <n v="58"/>
  </r>
  <r>
    <s v="3365"/>
    <s v="Xavier Lopes"/>
    <x v="2"/>
    <x v="133"/>
    <x v="1"/>
    <x v="2"/>
    <x v="0"/>
    <x v="1"/>
    <x v="1"/>
    <x v="0"/>
    <x v="0"/>
    <n v="10"/>
    <n v="20"/>
  </r>
  <r>
    <s v="3366"/>
    <s v="Yolanda Freitas"/>
    <x v="1"/>
    <x v="134"/>
    <x v="0"/>
    <x v="1"/>
    <x v="0"/>
    <x v="1"/>
    <x v="1"/>
    <x v="1"/>
    <x v="1"/>
    <n v="0"/>
    <n v="5"/>
  </r>
  <r>
    <s v="3367"/>
    <s v="Zacarias Nunes"/>
    <x v="0"/>
    <x v="135"/>
    <x v="1"/>
    <x v="0"/>
    <x v="2"/>
    <x v="0"/>
    <x v="0"/>
    <x v="0"/>
    <x v="0"/>
    <n v="7"/>
    <n v="58"/>
  </r>
  <r>
    <s v="3368"/>
    <s v="Ana Clara Barreto"/>
    <x v="2"/>
    <x v="136"/>
    <x v="0"/>
    <x v="2"/>
    <x v="1"/>
    <x v="1"/>
    <x v="1"/>
    <x v="0"/>
    <x v="0"/>
    <n v="10"/>
    <n v="20"/>
  </r>
  <r>
    <s v="3369"/>
    <s v="Bruno Henrique"/>
    <x v="1"/>
    <x v="137"/>
    <x v="1"/>
    <x v="1"/>
    <x v="2"/>
    <x v="1"/>
    <x v="1"/>
    <x v="1"/>
    <x v="1"/>
    <n v="1"/>
    <n v="4"/>
  </r>
  <r>
    <s v="3370"/>
    <s v="Carlos Eduardo"/>
    <x v="0"/>
    <x v="138"/>
    <x v="0"/>
    <x v="0"/>
    <x v="0"/>
    <x v="0"/>
    <x v="0"/>
    <x v="0"/>
    <x v="0"/>
    <n v="15"/>
    <n v="50"/>
  </r>
  <r>
    <s v="3371"/>
    <s v="Débora Lima"/>
    <x v="2"/>
    <x v="139"/>
    <x v="1"/>
    <x v="2"/>
    <x v="0"/>
    <x v="1"/>
    <x v="1"/>
    <x v="0"/>
    <x v="0"/>
    <n v="5"/>
    <n v="25"/>
  </r>
  <r>
    <s v="3372"/>
    <s v="Elisa Neves"/>
    <x v="1"/>
    <x v="140"/>
    <x v="0"/>
    <x v="1"/>
    <x v="1"/>
    <x v="1"/>
    <x v="1"/>
    <x v="1"/>
    <x v="1"/>
    <n v="0"/>
    <n v="5"/>
  </r>
  <r>
    <s v="3373"/>
    <s v="Fabiano Gomes"/>
    <x v="0"/>
    <x v="141"/>
    <x v="1"/>
    <x v="0"/>
    <x v="2"/>
    <x v="0"/>
    <x v="0"/>
    <x v="0"/>
    <x v="0"/>
    <n v="20"/>
    <n v="45"/>
  </r>
  <r>
    <s v="3374"/>
    <s v="Gisele Oliveira"/>
    <x v="2"/>
    <x v="142"/>
    <x v="0"/>
    <x v="2"/>
    <x v="2"/>
    <x v="1"/>
    <x v="1"/>
    <x v="0"/>
    <x v="0"/>
    <n v="12"/>
    <n v="18"/>
  </r>
  <r>
    <s v="3375"/>
    <s v="Héctor Silva"/>
    <x v="1"/>
    <x v="143"/>
    <x v="1"/>
    <x v="1"/>
    <x v="0"/>
    <x v="1"/>
    <x v="1"/>
    <x v="1"/>
    <x v="1"/>
    <n v="2"/>
    <n v="3"/>
  </r>
  <r>
    <s v="3376"/>
    <s v="Igor Martins"/>
    <x v="0"/>
    <x v="144"/>
    <x v="0"/>
    <x v="0"/>
    <x v="1"/>
    <x v="0"/>
    <x v="0"/>
    <x v="0"/>
    <x v="0"/>
    <n v="5"/>
    <n v="60"/>
  </r>
  <r>
    <s v="3377"/>
    <s v="Joana Figueiredo"/>
    <x v="2"/>
    <x v="145"/>
    <x v="1"/>
    <x v="2"/>
    <x v="0"/>
    <x v="1"/>
    <x v="1"/>
    <x v="0"/>
    <x v="0"/>
    <n v="10"/>
    <n v="20"/>
  </r>
  <r>
    <s v="3378"/>
    <s v="Kleber Machado"/>
    <x v="1"/>
    <x v="146"/>
    <x v="0"/>
    <x v="1"/>
    <x v="2"/>
    <x v="1"/>
    <x v="1"/>
    <x v="1"/>
    <x v="1"/>
    <n v="0"/>
    <n v="5"/>
  </r>
  <r>
    <s v="3379"/>
    <s v="Luciana Santos"/>
    <x v="0"/>
    <x v="147"/>
    <x v="1"/>
    <x v="0"/>
    <x v="0"/>
    <x v="0"/>
    <x v="0"/>
    <x v="0"/>
    <x v="0"/>
    <n v="3"/>
    <n v="62"/>
  </r>
  <r>
    <s v="3380"/>
    <s v="Marcos Teixeira"/>
    <x v="2"/>
    <x v="148"/>
    <x v="0"/>
    <x v="2"/>
    <x v="1"/>
    <x v="1"/>
    <x v="1"/>
    <x v="0"/>
    <x v="0"/>
    <n v="15"/>
    <n v="15"/>
  </r>
  <r>
    <s v="3381"/>
    <s v="Natalia Costa"/>
    <x v="1"/>
    <x v="149"/>
    <x v="1"/>
    <x v="1"/>
    <x v="0"/>
    <x v="1"/>
    <x v="1"/>
    <x v="1"/>
    <x v="1"/>
    <n v="1"/>
    <n v="4"/>
  </r>
  <r>
    <s v="3382"/>
    <s v="Oscar Ribeiro"/>
    <x v="0"/>
    <x v="150"/>
    <x v="0"/>
    <x v="0"/>
    <x v="2"/>
    <x v="0"/>
    <x v="0"/>
    <x v="0"/>
    <x v="0"/>
    <n v="7"/>
    <n v="58"/>
  </r>
  <r>
    <s v="3383"/>
    <s v="Patricia Almeida"/>
    <x v="2"/>
    <x v="151"/>
    <x v="1"/>
    <x v="2"/>
    <x v="0"/>
    <x v="1"/>
    <x v="1"/>
    <x v="0"/>
    <x v="0"/>
    <n v="10"/>
    <n v="20"/>
  </r>
  <r>
    <s v="3384"/>
    <s v="Quirino Junior"/>
    <x v="1"/>
    <x v="152"/>
    <x v="0"/>
    <x v="1"/>
    <x v="1"/>
    <x v="1"/>
    <x v="1"/>
    <x v="1"/>
    <x v="1"/>
    <n v="0"/>
    <n v="5"/>
  </r>
  <r>
    <s v="3385"/>
    <s v="Renata Machado"/>
    <x v="0"/>
    <x v="153"/>
    <x v="1"/>
    <x v="0"/>
    <x v="0"/>
    <x v="0"/>
    <x v="0"/>
    <x v="0"/>
    <x v="0"/>
    <n v="20"/>
    <n v="45"/>
  </r>
  <r>
    <s v="3386"/>
    <s v="Sônia Alves"/>
    <x v="2"/>
    <x v="154"/>
    <x v="0"/>
    <x v="2"/>
    <x v="2"/>
    <x v="1"/>
    <x v="1"/>
    <x v="0"/>
    <x v="0"/>
    <n v="15"/>
    <n v="15"/>
  </r>
  <r>
    <s v="3387"/>
    <s v="Tiago Nunes"/>
    <x v="1"/>
    <x v="155"/>
    <x v="1"/>
    <x v="1"/>
    <x v="0"/>
    <x v="1"/>
    <x v="1"/>
    <x v="1"/>
    <x v="1"/>
    <n v="1"/>
    <n v="4"/>
  </r>
  <r>
    <s v="3388"/>
    <s v="Ulysses Pereira"/>
    <x v="0"/>
    <x v="156"/>
    <x v="0"/>
    <x v="0"/>
    <x v="1"/>
    <x v="0"/>
    <x v="0"/>
    <x v="0"/>
    <x v="0"/>
    <n v="3"/>
    <n v="62"/>
  </r>
  <r>
    <s v="3389"/>
    <s v="Vanessa Lima"/>
    <x v="2"/>
    <x v="157"/>
    <x v="1"/>
    <x v="2"/>
    <x v="0"/>
    <x v="1"/>
    <x v="1"/>
    <x v="0"/>
    <x v="0"/>
    <n v="10"/>
    <n v="20"/>
  </r>
  <r>
    <s v="3390"/>
    <s v="Wagner Santos"/>
    <x v="1"/>
    <x v="158"/>
    <x v="0"/>
    <x v="1"/>
    <x v="2"/>
    <x v="1"/>
    <x v="1"/>
    <x v="1"/>
    <x v="1"/>
    <n v="0"/>
    <n v="5"/>
  </r>
  <r>
    <s v="3391"/>
    <s v="Xuxa Meneghel"/>
    <x v="0"/>
    <x v="159"/>
    <x v="1"/>
    <x v="0"/>
    <x v="0"/>
    <x v="0"/>
    <x v="0"/>
    <x v="0"/>
    <x v="0"/>
    <n v="15"/>
    <n v="50"/>
  </r>
  <r>
    <s v="3392"/>
    <s v="Yasmin Silva"/>
    <x v="2"/>
    <x v="160"/>
    <x v="0"/>
    <x v="2"/>
    <x v="1"/>
    <x v="1"/>
    <x v="1"/>
    <x v="0"/>
    <x v="0"/>
    <n v="15"/>
    <n v="15"/>
  </r>
  <r>
    <s v="3393"/>
    <s v="Zacarias de Souza"/>
    <x v="1"/>
    <x v="161"/>
    <x v="1"/>
    <x v="1"/>
    <x v="0"/>
    <x v="1"/>
    <x v="1"/>
    <x v="1"/>
    <x v="1"/>
    <n v="1"/>
    <n v="4"/>
  </r>
  <r>
    <s v="3394"/>
    <s v="André Lima"/>
    <x v="0"/>
    <x v="162"/>
    <x v="0"/>
    <x v="0"/>
    <x v="2"/>
    <x v="0"/>
    <x v="0"/>
    <x v="0"/>
    <x v="0"/>
    <n v="7"/>
    <n v="58"/>
  </r>
  <r>
    <s v="3395"/>
    <s v="Bianca Freitas"/>
    <x v="2"/>
    <x v="163"/>
    <x v="1"/>
    <x v="2"/>
    <x v="0"/>
    <x v="1"/>
    <x v="1"/>
    <x v="0"/>
    <x v="0"/>
    <n v="10"/>
    <n v="20"/>
  </r>
  <r>
    <s v="3396"/>
    <s v="Caio Mendes"/>
    <x v="1"/>
    <x v="164"/>
    <x v="0"/>
    <x v="1"/>
    <x v="1"/>
    <x v="1"/>
    <x v="1"/>
    <x v="1"/>
    <x v="1"/>
    <n v="0"/>
    <n v="5"/>
  </r>
  <r>
    <s v="3397"/>
    <s v="Daniela Moura"/>
    <x v="0"/>
    <x v="165"/>
    <x v="1"/>
    <x v="0"/>
    <x v="0"/>
    <x v="0"/>
    <x v="0"/>
    <x v="0"/>
    <x v="0"/>
    <n v="20"/>
    <n v="45"/>
  </r>
  <r>
    <s v="3398"/>
    <s v="Eduardo Costa"/>
    <x v="2"/>
    <x v="166"/>
    <x v="0"/>
    <x v="2"/>
    <x v="2"/>
    <x v="1"/>
    <x v="1"/>
    <x v="0"/>
    <x v="0"/>
    <n v="15"/>
    <n v="15"/>
  </r>
  <r>
    <s v="3399"/>
    <s v="Fernanda Gomes"/>
    <x v="1"/>
    <x v="167"/>
    <x v="1"/>
    <x v="1"/>
    <x v="0"/>
    <x v="1"/>
    <x v="1"/>
    <x v="1"/>
    <x v="1"/>
    <n v="1"/>
    <n v="4"/>
  </r>
  <r>
    <s v="3400"/>
    <s v="Guilherme Souza"/>
    <x v="0"/>
    <x v="168"/>
    <x v="0"/>
    <x v="0"/>
    <x v="1"/>
    <x v="0"/>
    <x v="0"/>
    <x v="0"/>
    <x v="0"/>
    <n v="5"/>
    <n v="60"/>
  </r>
  <r>
    <s v="3401"/>
    <s v="Helena Ribeiro"/>
    <x v="2"/>
    <x v="169"/>
    <x v="1"/>
    <x v="2"/>
    <x v="0"/>
    <x v="1"/>
    <x v="1"/>
    <x v="0"/>
    <x v="0"/>
    <n v="10"/>
    <n v="20"/>
  </r>
  <r>
    <s v="3402"/>
    <s v="Igor Santos"/>
    <x v="1"/>
    <x v="170"/>
    <x v="0"/>
    <x v="1"/>
    <x v="2"/>
    <x v="1"/>
    <x v="1"/>
    <x v="1"/>
    <x v="1"/>
    <n v="0"/>
    <n v="5"/>
  </r>
  <r>
    <s v="3403"/>
    <s v="João Carvalho"/>
    <x v="0"/>
    <x v="171"/>
    <x v="1"/>
    <x v="0"/>
    <x v="0"/>
    <x v="0"/>
    <x v="0"/>
    <x v="0"/>
    <x v="0"/>
    <n v="3"/>
    <n v="62"/>
  </r>
  <r>
    <s v="3404"/>
    <s v="Klara Fagundes"/>
    <x v="2"/>
    <x v="172"/>
    <x v="0"/>
    <x v="2"/>
    <x v="1"/>
    <x v="1"/>
    <x v="1"/>
    <x v="0"/>
    <x v="0"/>
    <n v="15"/>
    <n v="15"/>
  </r>
  <r>
    <s v="3405"/>
    <s v="Lúcia Mendonça"/>
    <x v="1"/>
    <x v="173"/>
    <x v="1"/>
    <x v="1"/>
    <x v="0"/>
    <x v="1"/>
    <x v="1"/>
    <x v="1"/>
    <x v="1"/>
    <n v="1"/>
    <n v="4"/>
  </r>
  <r>
    <s v="3406"/>
    <s v="Marcelo Novaes"/>
    <x v="1"/>
    <x v="174"/>
    <x v="0"/>
    <x v="1"/>
    <x v="0"/>
    <x v="1"/>
    <x v="1"/>
    <x v="1"/>
    <x v="1"/>
    <n v="0"/>
    <n v="5"/>
  </r>
  <r>
    <s v="3407"/>
    <s v="Nina Pacheco"/>
    <x v="0"/>
    <x v="175"/>
    <x v="1"/>
    <x v="0"/>
    <x v="2"/>
    <x v="0"/>
    <x v="0"/>
    <x v="0"/>
    <x v="0"/>
    <n v="7"/>
    <n v="58"/>
  </r>
  <r>
    <s v="3408"/>
    <s v="Olívia Rios"/>
    <x v="2"/>
    <x v="176"/>
    <x v="0"/>
    <x v="2"/>
    <x v="1"/>
    <x v="1"/>
    <x v="1"/>
    <x v="0"/>
    <x v="0"/>
    <n v="10"/>
    <n v="20"/>
  </r>
  <r>
    <s v="3409"/>
    <s v="Paulo Quintana"/>
    <x v="1"/>
    <x v="177"/>
    <x v="1"/>
    <x v="1"/>
    <x v="2"/>
    <x v="1"/>
    <x v="1"/>
    <x v="1"/>
    <x v="1"/>
    <n v="1"/>
    <n v="4"/>
  </r>
  <r>
    <s v="3410"/>
    <s v="Raquel Domingos"/>
    <x v="0"/>
    <x v="178"/>
    <x v="0"/>
    <x v="0"/>
    <x v="0"/>
    <x v="0"/>
    <x v="0"/>
    <x v="0"/>
    <x v="0"/>
    <n v="15"/>
    <n v="50"/>
  </r>
  <r>
    <s v="3411"/>
    <s v="Samuel Viana"/>
    <x v="2"/>
    <x v="179"/>
    <x v="1"/>
    <x v="2"/>
    <x v="0"/>
    <x v="1"/>
    <x v="1"/>
    <x v="0"/>
    <x v="0"/>
    <n v="5"/>
    <n v="25"/>
  </r>
  <r>
    <s v="3412"/>
    <s v="Tatiane Rocha"/>
    <x v="1"/>
    <x v="180"/>
    <x v="0"/>
    <x v="1"/>
    <x v="1"/>
    <x v="1"/>
    <x v="1"/>
    <x v="1"/>
    <x v="1"/>
    <n v="0"/>
    <n v="5"/>
  </r>
  <r>
    <s v="3413"/>
    <s v="Ulysses Farias"/>
    <x v="0"/>
    <x v="181"/>
    <x v="1"/>
    <x v="0"/>
    <x v="2"/>
    <x v="0"/>
    <x v="0"/>
    <x v="0"/>
    <x v="0"/>
    <n v="20"/>
    <n v="45"/>
  </r>
  <r>
    <s v="3414"/>
    <s v="Vanessa Moreira"/>
    <x v="2"/>
    <x v="182"/>
    <x v="0"/>
    <x v="2"/>
    <x v="2"/>
    <x v="1"/>
    <x v="1"/>
    <x v="0"/>
    <x v="0"/>
    <n v="12"/>
    <n v="18"/>
  </r>
  <r>
    <s v="3415"/>
    <s v="William Carvalho"/>
    <x v="1"/>
    <x v="183"/>
    <x v="1"/>
    <x v="1"/>
    <x v="0"/>
    <x v="1"/>
    <x v="1"/>
    <x v="1"/>
    <x v="1"/>
    <n v="2"/>
    <n v="3"/>
  </r>
  <r>
    <s v="3416"/>
    <s v="Ximena Barros"/>
    <x v="0"/>
    <x v="184"/>
    <x v="0"/>
    <x v="0"/>
    <x v="1"/>
    <x v="0"/>
    <x v="0"/>
    <x v="0"/>
    <x v="0"/>
    <n v="5"/>
    <n v="60"/>
  </r>
  <r>
    <s v="3417"/>
    <s v="Yara Machado"/>
    <x v="2"/>
    <x v="185"/>
    <x v="1"/>
    <x v="2"/>
    <x v="0"/>
    <x v="1"/>
    <x v="1"/>
    <x v="0"/>
    <x v="0"/>
    <n v="10"/>
    <n v="20"/>
  </r>
  <r>
    <s v="3418"/>
    <s v="Zacarias Costa"/>
    <x v="1"/>
    <x v="186"/>
    <x v="0"/>
    <x v="1"/>
    <x v="2"/>
    <x v="1"/>
    <x v="1"/>
    <x v="1"/>
    <x v="1"/>
    <n v="0"/>
    <n v="5"/>
  </r>
  <r>
    <s v="3419"/>
    <s v="André Lopes"/>
    <x v="0"/>
    <x v="187"/>
    <x v="1"/>
    <x v="0"/>
    <x v="0"/>
    <x v="0"/>
    <x v="0"/>
    <x v="0"/>
    <x v="0"/>
    <n v="3"/>
    <n v="62"/>
  </r>
  <r>
    <s v="3420"/>
    <s v="Beatriz Souza"/>
    <x v="2"/>
    <x v="188"/>
    <x v="0"/>
    <x v="2"/>
    <x v="1"/>
    <x v="1"/>
    <x v="1"/>
    <x v="0"/>
    <x v="0"/>
    <n v="15"/>
    <n v="15"/>
  </r>
  <r>
    <s v="3421"/>
    <s v="Caio Pereira"/>
    <x v="1"/>
    <x v="189"/>
    <x v="1"/>
    <x v="1"/>
    <x v="0"/>
    <x v="1"/>
    <x v="1"/>
    <x v="1"/>
    <x v="1"/>
    <n v="1"/>
    <n v="4"/>
  </r>
  <r>
    <s v="3422"/>
    <s v="Daniela Araújo"/>
    <x v="0"/>
    <x v="190"/>
    <x v="0"/>
    <x v="0"/>
    <x v="2"/>
    <x v="0"/>
    <x v="0"/>
    <x v="0"/>
    <x v="0"/>
    <n v="7"/>
    <n v="58"/>
  </r>
  <r>
    <s v="3423"/>
    <s v="Eduardo Santos"/>
    <x v="2"/>
    <x v="191"/>
    <x v="1"/>
    <x v="2"/>
    <x v="0"/>
    <x v="1"/>
    <x v="1"/>
    <x v="0"/>
    <x v="0"/>
    <n v="10"/>
    <n v="20"/>
  </r>
  <r>
    <s v="3424"/>
    <s v="Fernanda Lima"/>
    <x v="1"/>
    <x v="192"/>
    <x v="0"/>
    <x v="1"/>
    <x v="1"/>
    <x v="1"/>
    <x v="1"/>
    <x v="1"/>
    <x v="1"/>
    <n v="0"/>
    <n v="5"/>
  </r>
  <r>
    <s v="3425"/>
    <s v="Gabriel Teixeira"/>
    <x v="0"/>
    <x v="193"/>
    <x v="1"/>
    <x v="0"/>
    <x v="0"/>
    <x v="0"/>
    <x v="0"/>
    <x v="0"/>
    <x v="0"/>
    <n v="20"/>
    <n v="45"/>
  </r>
  <r>
    <s v="3426"/>
    <s v="Helena Ribeiro"/>
    <x v="2"/>
    <x v="194"/>
    <x v="0"/>
    <x v="2"/>
    <x v="2"/>
    <x v="1"/>
    <x v="1"/>
    <x v="0"/>
    <x v="0"/>
    <n v="15"/>
    <n v="15"/>
  </r>
  <r>
    <s v="3427"/>
    <s v="Igor Mendes"/>
    <x v="1"/>
    <x v="195"/>
    <x v="1"/>
    <x v="1"/>
    <x v="0"/>
    <x v="1"/>
    <x v="1"/>
    <x v="1"/>
    <x v="1"/>
    <n v="1"/>
    <n v="4"/>
  </r>
  <r>
    <s v="3428"/>
    <s v="Joana Silveira"/>
    <x v="0"/>
    <x v="196"/>
    <x v="0"/>
    <x v="0"/>
    <x v="1"/>
    <x v="0"/>
    <x v="0"/>
    <x v="0"/>
    <x v="0"/>
    <n v="3"/>
    <n v="62"/>
  </r>
  <r>
    <s v="3429"/>
    <s v="Lucas Martins"/>
    <x v="2"/>
    <x v="197"/>
    <x v="1"/>
    <x v="2"/>
    <x v="0"/>
    <x v="1"/>
    <x v="1"/>
    <x v="0"/>
    <x v="0"/>
    <n v="10"/>
    <n v="20"/>
  </r>
  <r>
    <s v="3430"/>
    <s v="Marcela Gouveia"/>
    <x v="1"/>
    <x v="198"/>
    <x v="0"/>
    <x v="1"/>
    <x v="2"/>
    <x v="1"/>
    <x v="1"/>
    <x v="1"/>
    <x v="1"/>
    <n v="0"/>
    <n v="5"/>
  </r>
  <r>
    <s v="3431"/>
    <s v="Nicolas Borges"/>
    <x v="0"/>
    <x v="199"/>
    <x v="1"/>
    <x v="0"/>
    <x v="0"/>
    <x v="0"/>
    <x v="0"/>
    <x v="0"/>
    <x v="0"/>
    <n v="15"/>
    <n v="50"/>
  </r>
  <r>
    <s v="3432"/>
    <s v="Olivia Freitas"/>
    <x v="2"/>
    <x v="200"/>
    <x v="0"/>
    <x v="2"/>
    <x v="1"/>
    <x v="1"/>
    <x v="1"/>
    <x v="0"/>
    <x v="0"/>
    <n v="15"/>
    <n v="15"/>
  </r>
  <r>
    <s v="3433"/>
    <s v="Paulo Nogueira"/>
    <x v="1"/>
    <x v="201"/>
    <x v="1"/>
    <x v="1"/>
    <x v="0"/>
    <x v="1"/>
    <x v="1"/>
    <x v="1"/>
    <x v="1"/>
    <n v="1"/>
    <n v="4"/>
  </r>
  <r>
    <s v="3434"/>
    <s v="Raquel Andrade"/>
    <x v="0"/>
    <x v="202"/>
    <x v="0"/>
    <x v="0"/>
    <x v="2"/>
    <x v="0"/>
    <x v="0"/>
    <x v="0"/>
    <x v="0"/>
    <n v="7"/>
    <n v="58"/>
  </r>
  <r>
    <s v="3435"/>
    <s v="Sônia Carvalho"/>
    <x v="2"/>
    <x v="203"/>
    <x v="1"/>
    <x v="2"/>
    <x v="0"/>
    <x v="1"/>
    <x v="1"/>
    <x v="0"/>
    <x v="0"/>
    <n v="10"/>
    <n v="20"/>
  </r>
  <r>
    <s v="3436"/>
    <s v="Tiago Rodrigues"/>
    <x v="1"/>
    <x v="204"/>
    <x v="0"/>
    <x v="1"/>
    <x v="0"/>
    <x v="1"/>
    <x v="1"/>
    <x v="1"/>
    <x v="1"/>
    <n v="0"/>
    <n v="5"/>
  </r>
  <r>
    <s v="3437"/>
    <s v="Ursula Monteiro"/>
    <x v="0"/>
    <x v="205"/>
    <x v="1"/>
    <x v="0"/>
    <x v="2"/>
    <x v="0"/>
    <x v="0"/>
    <x v="0"/>
    <x v="0"/>
    <n v="7"/>
    <n v="58"/>
  </r>
  <r>
    <s v="3438"/>
    <s v="Vanessa Pereira"/>
    <x v="2"/>
    <x v="206"/>
    <x v="0"/>
    <x v="2"/>
    <x v="1"/>
    <x v="1"/>
    <x v="1"/>
    <x v="0"/>
    <x v="0"/>
    <n v="10"/>
    <n v="20"/>
  </r>
  <r>
    <s v="3439"/>
    <s v="Walter Silva"/>
    <x v="1"/>
    <x v="207"/>
    <x v="1"/>
    <x v="1"/>
    <x v="2"/>
    <x v="1"/>
    <x v="1"/>
    <x v="1"/>
    <x v="1"/>
    <n v="1"/>
    <n v="4"/>
  </r>
  <r>
    <s v="3440"/>
    <s v="Xavier Almeida"/>
    <x v="0"/>
    <x v="208"/>
    <x v="0"/>
    <x v="0"/>
    <x v="0"/>
    <x v="0"/>
    <x v="0"/>
    <x v="0"/>
    <x v="0"/>
    <n v="15"/>
    <n v="50"/>
  </r>
  <r>
    <s v="3441"/>
    <s v="Yasmine Correia"/>
    <x v="2"/>
    <x v="209"/>
    <x v="1"/>
    <x v="2"/>
    <x v="0"/>
    <x v="1"/>
    <x v="1"/>
    <x v="0"/>
    <x v="0"/>
    <n v="5"/>
    <n v="25"/>
  </r>
  <r>
    <s v="3442"/>
    <s v="Zacarias Almeida"/>
    <x v="1"/>
    <x v="210"/>
    <x v="0"/>
    <x v="1"/>
    <x v="1"/>
    <x v="1"/>
    <x v="1"/>
    <x v="1"/>
    <x v="1"/>
    <n v="0"/>
    <n v="5"/>
  </r>
  <r>
    <s v="3443"/>
    <s v="Amanda Costa"/>
    <x v="0"/>
    <x v="211"/>
    <x v="1"/>
    <x v="0"/>
    <x v="2"/>
    <x v="0"/>
    <x v="0"/>
    <x v="0"/>
    <x v="0"/>
    <n v="20"/>
    <n v="45"/>
  </r>
  <r>
    <s v="3444"/>
    <s v="Bruno Ferreira"/>
    <x v="2"/>
    <x v="212"/>
    <x v="0"/>
    <x v="2"/>
    <x v="2"/>
    <x v="1"/>
    <x v="1"/>
    <x v="0"/>
    <x v="0"/>
    <n v="12"/>
    <n v="18"/>
  </r>
  <r>
    <s v="3445"/>
    <s v="Carla Dias"/>
    <x v="1"/>
    <x v="213"/>
    <x v="1"/>
    <x v="1"/>
    <x v="0"/>
    <x v="1"/>
    <x v="1"/>
    <x v="1"/>
    <x v="1"/>
    <n v="2"/>
    <n v="3"/>
  </r>
  <r>
    <s v="3446"/>
    <s v="Diogo Martins"/>
    <x v="0"/>
    <x v="214"/>
    <x v="0"/>
    <x v="0"/>
    <x v="1"/>
    <x v="0"/>
    <x v="0"/>
    <x v="0"/>
    <x v="0"/>
    <n v="5"/>
    <n v="60"/>
  </r>
  <r>
    <s v="3447"/>
    <s v="Elisa Campos"/>
    <x v="2"/>
    <x v="215"/>
    <x v="1"/>
    <x v="2"/>
    <x v="0"/>
    <x v="1"/>
    <x v="1"/>
    <x v="0"/>
    <x v="0"/>
    <n v="10"/>
    <n v="20"/>
  </r>
  <r>
    <s v="3448"/>
    <s v="Fabiana Lima"/>
    <x v="1"/>
    <x v="216"/>
    <x v="0"/>
    <x v="1"/>
    <x v="2"/>
    <x v="1"/>
    <x v="1"/>
    <x v="1"/>
    <x v="1"/>
    <n v="0"/>
    <n v="5"/>
  </r>
  <r>
    <s v="3449"/>
    <s v="Gabriel Santos"/>
    <x v="0"/>
    <x v="217"/>
    <x v="1"/>
    <x v="0"/>
    <x v="0"/>
    <x v="0"/>
    <x v="0"/>
    <x v="0"/>
    <x v="0"/>
    <n v="3"/>
    <n v="62"/>
  </r>
  <r>
    <s v="3450"/>
    <s v="Helena Ferreira"/>
    <x v="2"/>
    <x v="218"/>
    <x v="0"/>
    <x v="2"/>
    <x v="1"/>
    <x v="1"/>
    <x v="1"/>
    <x v="0"/>
    <x v="0"/>
    <n v="15"/>
    <n v="15"/>
  </r>
  <r>
    <s v="3451"/>
    <s v="Ígor Nunes"/>
    <x v="1"/>
    <x v="219"/>
    <x v="1"/>
    <x v="1"/>
    <x v="0"/>
    <x v="1"/>
    <x v="1"/>
    <x v="1"/>
    <x v="1"/>
    <n v="1"/>
    <n v="4"/>
  </r>
  <r>
    <s v="3452"/>
    <s v="Joana Silveira"/>
    <x v="0"/>
    <x v="220"/>
    <x v="0"/>
    <x v="0"/>
    <x v="2"/>
    <x v="0"/>
    <x v="0"/>
    <x v="0"/>
    <x v="0"/>
    <n v="7"/>
    <n v="58"/>
  </r>
  <r>
    <s v="3453"/>
    <s v="Kléber Oliveira"/>
    <x v="2"/>
    <x v="221"/>
    <x v="1"/>
    <x v="2"/>
    <x v="0"/>
    <x v="1"/>
    <x v="1"/>
    <x v="0"/>
    <x v="0"/>
    <n v="10"/>
    <n v="20"/>
  </r>
  <r>
    <s v="3454"/>
    <s v="Luciana Morais"/>
    <x v="1"/>
    <x v="222"/>
    <x v="0"/>
    <x v="1"/>
    <x v="1"/>
    <x v="1"/>
    <x v="1"/>
    <x v="1"/>
    <x v="1"/>
    <n v="0"/>
    <n v="5"/>
  </r>
  <r>
    <s v="3455"/>
    <s v="Marcos Vinícius"/>
    <x v="0"/>
    <x v="223"/>
    <x v="1"/>
    <x v="0"/>
    <x v="0"/>
    <x v="0"/>
    <x v="0"/>
    <x v="0"/>
    <x v="0"/>
    <n v="20"/>
    <n v="45"/>
  </r>
  <r>
    <s v="3456"/>
    <s v="Natália Barros"/>
    <x v="2"/>
    <x v="224"/>
    <x v="0"/>
    <x v="2"/>
    <x v="2"/>
    <x v="1"/>
    <x v="1"/>
    <x v="0"/>
    <x v="0"/>
    <n v="15"/>
    <n v="15"/>
  </r>
  <r>
    <s v="3457"/>
    <s v="Oscar Sampaio"/>
    <x v="1"/>
    <x v="225"/>
    <x v="1"/>
    <x v="1"/>
    <x v="0"/>
    <x v="1"/>
    <x v="1"/>
    <x v="1"/>
    <x v="1"/>
    <n v="1"/>
    <n v="4"/>
  </r>
  <r>
    <s v="3458"/>
    <s v="Patrícia Leite"/>
    <x v="0"/>
    <x v="226"/>
    <x v="0"/>
    <x v="0"/>
    <x v="1"/>
    <x v="0"/>
    <x v="0"/>
    <x v="0"/>
    <x v="0"/>
    <n v="3"/>
    <n v="62"/>
  </r>
  <r>
    <s v="3459"/>
    <s v="Quênia Rocha"/>
    <x v="2"/>
    <x v="227"/>
    <x v="1"/>
    <x v="2"/>
    <x v="0"/>
    <x v="1"/>
    <x v="1"/>
    <x v="0"/>
    <x v="0"/>
    <n v="10"/>
    <n v="20"/>
  </r>
  <r>
    <s v="3460"/>
    <s v="Rafael Torres"/>
    <x v="1"/>
    <x v="228"/>
    <x v="0"/>
    <x v="1"/>
    <x v="2"/>
    <x v="1"/>
    <x v="1"/>
    <x v="1"/>
    <x v="1"/>
    <n v="0"/>
    <n v="5"/>
  </r>
  <r>
    <s v="3461"/>
    <s v="Sandra Gouveia"/>
    <x v="0"/>
    <x v="229"/>
    <x v="1"/>
    <x v="0"/>
    <x v="0"/>
    <x v="0"/>
    <x v="0"/>
    <x v="0"/>
    <x v="0"/>
    <n v="15"/>
    <n v="50"/>
  </r>
  <r>
    <s v="3462"/>
    <s v="Tiago Lacerda"/>
    <x v="2"/>
    <x v="230"/>
    <x v="0"/>
    <x v="2"/>
    <x v="1"/>
    <x v="1"/>
    <x v="1"/>
    <x v="0"/>
    <x v="0"/>
    <n v="15"/>
    <n v="15"/>
  </r>
  <r>
    <s v="3463"/>
    <s v="Ursula Fonseca"/>
    <x v="1"/>
    <x v="231"/>
    <x v="1"/>
    <x v="1"/>
    <x v="0"/>
    <x v="1"/>
    <x v="1"/>
    <x v="1"/>
    <x v="1"/>
    <n v="1"/>
    <n v="4"/>
  </r>
  <r>
    <s v="3464"/>
    <s v="Vanessa Andrade"/>
    <x v="0"/>
    <x v="232"/>
    <x v="0"/>
    <x v="0"/>
    <x v="2"/>
    <x v="0"/>
    <x v="0"/>
    <x v="0"/>
    <x v="0"/>
    <n v="7"/>
    <n v="58"/>
  </r>
  <r>
    <s v="3465"/>
    <s v="William Castro"/>
    <x v="2"/>
    <x v="233"/>
    <x v="1"/>
    <x v="2"/>
    <x v="0"/>
    <x v="1"/>
    <x v="1"/>
    <x v="0"/>
    <x v="0"/>
    <n v="10"/>
    <n v="20"/>
  </r>
  <r>
    <s v="3466"/>
    <s v="Xavier Monteiro"/>
    <x v="1"/>
    <x v="234"/>
    <x v="0"/>
    <x v="1"/>
    <x v="1"/>
    <x v="1"/>
    <x v="1"/>
    <x v="1"/>
    <x v="1"/>
    <n v="0"/>
    <n v="5"/>
  </r>
  <r>
    <s v="3467"/>
    <s v="Yasmin Figueira"/>
    <x v="0"/>
    <x v="235"/>
    <x v="1"/>
    <x v="0"/>
    <x v="0"/>
    <x v="0"/>
    <x v="0"/>
    <x v="0"/>
    <x v="0"/>
    <n v="15"/>
    <n v="50"/>
  </r>
  <r>
    <s v="3468"/>
    <s v="Zacarias Mendonça"/>
    <x v="2"/>
    <x v="236"/>
    <x v="0"/>
    <x v="2"/>
    <x v="2"/>
    <x v="1"/>
    <x v="1"/>
    <x v="0"/>
    <x v="0"/>
    <n v="12"/>
    <n v="18"/>
  </r>
  <r>
    <s v="3469"/>
    <s v="Amanda Menezes"/>
    <x v="1"/>
    <x v="237"/>
    <x v="1"/>
    <x v="1"/>
    <x v="0"/>
    <x v="1"/>
    <x v="1"/>
    <x v="1"/>
    <x v="1"/>
    <n v="2"/>
    <n v="3"/>
  </r>
  <r>
    <s v="3470"/>
    <s v="Bruno Santos"/>
    <x v="0"/>
    <x v="238"/>
    <x v="0"/>
    <x v="0"/>
    <x v="1"/>
    <x v="0"/>
    <x v="0"/>
    <x v="0"/>
    <x v="0"/>
    <n v="5"/>
    <n v="60"/>
  </r>
  <r>
    <s v="3471"/>
    <s v="Carla Ferreira"/>
    <x v="2"/>
    <x v="239"/>
    <x v="1"/>
    <x v="2"/>
    <x v="0"/>
    <x v="1"/>
    <x v="1"/>
    <x v="0"/>
    <x v="0"/>
    <n v="10"/>
    <n v="20"/>
  </r>
  <r>
    <s v="3472"/>
    <s v="Diogo Alves"/>
    <x v="1"/>
    <x v="240"/>
    <x v="0"/>
    <x v="1"/>
    <x v="2"/>
    <x v="1"/>
    <x v="1"/>
    <x v="1"/>
    <x v="1"/>
    <n v="0"/>
    <n v="5"/>
  </r>
  <r>
    <s v="3473"/>
    <s v="Elisa Neves"/>
    <x v="0"/>
    <x v="241"/>
    <x v="1"/>
    <x v="0"/>
    <x v="0"/>
    <x v="0"/>
    <x v="0"/>
    <x v="0"/>
    <x v="0"/>
    <n v="3"/>
    <n v="62"/>
  </r>
  <r>
    <s v="3474"/>
    <s v="Fabiano Pires"/>
    <x v="2"/>
    <x v="242"/>
    <x v="0"/>
    <x v="2"/>
    <x v="1"/>
    <x v="1"/>
    <x v="1"/>
    <x v="0"/>
    <x v="0"/>
    <n v="15"/>
    <n v="15"/>
  </r>
  <r>
    <s v="3475"/>
    <s v="Giovana Ribeiro"/>
    <x v="1"/>
    <x v="243"/>
    <x v="1"/>
    <x v="1"/>
    <x v="0"/>
    <x v="1"/>
    <x v="1"/>
    <x v="1"/>
    <x v="1"/>
    <n v="1"/>
    <n v="4"/>
  </r>
  <r>
    <s v="3476"/>
    <s v="Hélio Costa"/>
    <x v="0"/>
    <x v="244"/>
    <x v="0"/>
    <x v="0"/>
    <x v="2"/>
    <x v="0"/>
    <x v="0"/>
    <x v="0"/>
    <x v="0"/>
    <n v="7"/>
    <n v="58"/>
  </r>
  <r>
    <s v="3477"/>
    <s v="Íris Loureiro"/>
    <x v="2"/>
    <x v="245"/>
    <x v="1"/>
    <x v="2"/>
    <x v="0"/>
    <x v="1"/>
    <x v="1"/>
    <x v="0"/>
    <x v="0"/>
    <n v="10"/>
    <n v="20"/>
  </r>
  <r>
    <s v="3478"/>
    <s v="João Pereira"/>
    <x v="1"/>
    <x v="246"/>
    <x v="0"/>
    <x v="1"/>
    <x v="1"/>
    <x v="1"/>
    <x v="1"/>
    <x v="1"/>
    <x v="1"/>
    <n v="0"/>
    <n v="5"/>
  </r>
  <r>
    <s v="3479"/>
    <s v="Klara Silva"/>
    <x v="0"/>
    <x v="247"/>
    <x v="1"/>
    <x v="0"/>
    <x v="0"/>
    <x v="0"/>
    <x v="0"/>
    <x v="0"/>
    <x v="0"/>
    <n v="20"/>
    <n v="45"/>
  </r>
  <r>
    <s v="3480"/>
    <s v="Luciana Barros"/>
    <x v="2"/>
    <x v="248"/>
    <x v="0"/>
    <x v="2"/>
    <x v="2"/>
    <x v="1"/>
    <x v="1"/>
    <x v="0"/>
    <x v="0"/>
    <n v="15"/>
    <n v="15"/>
  </r>
  <r>
    <s v="3481"/>
    <s v="Marcos Gomes"/>
    <x v="1"/>
    <x v="249"/>
    <x v="1"/>
    <x v="1"/>
    <x v="0"/>
    <x v="1"/>
    <x v="1"/>
    <x v="1"/>
    <x v="1"/>
    <n v="1"/>
    <n v="4"/>
  </r>
  <r>
    <s v="3482"/>
    <s v="Natália Soares"/>
    <x v="0"/>
    <x v="250"/>
    <x v="0"/>
    <x v="0"/>
    <x v="1"/>
    <x v="0"/>
    <x v="0"/>
    <x v="0"/>
    <x v="0"/>
    <n v="3"/>
    <n v="62"/>
  </r>
  <r>
    <s v="3483"/>
    <s v="Oscar Machado"/>
    <x v="2"/>
    <x v="251"/>
    <x v="1"/>
    <x v="2"/>
    <x v="0"/>
    <x v="1"/>
    <x v="1"/>
    <x v="0"/>
    <x v="0"/>
    <n v="10"/>
    <n v="20"/>
  </r>
  <r>
    <s v="3484"/>
    <s v="Patrícia Lima"/>
    <x v="1"/>
    <x v="252"/>
    <x v="0"/>
    <x v="1"/>
    <x v="2"/>
    <x v="1"/>
    <x v="1"/>
    <x v="1"/>
    <x v="1"/>
    <n v="0"/>
    <n v="5"/>
  </r>
  <r>
    <s v="3485"/>
    <s v="Quirino Neto"/>
    <x v="0"/>
    <x v="253"/>
    <x v="1"/>
    <x v="0"/>
    <x v="0"/>
    <x v="0"/>
    <x v="0"/>
    <x v="0"/>
    <x v="0"/>
    <n v="15"/>
    <n v="50"/>
  </r>
  <r>
    <s v="3486"/>
    <s v="Rafaela Souza"/>
    <x v="1"/>
    <x v="254"/>
    <x v="0"/>
    <x v="1"/>
    <x v="0"/>
    <x v="1"/>
    <x v="1"/>
    <x v="1"/>
    <x v="1"/>
    <n v="0"/>
    <n v="5"/>
  </r>
  <r>
    <s v="3487"/>
    <s v="Sandro Almeida"/>
    <x v="0"/>
    <x v="255"/>
    <x v="1"/>
    <x v="0"/>
    <x v="2"/>
    <x v="0"/>
    <x v="0"/>
    <x v="0"/>
    <x v="0"/>
    <n v="7"/>
    <n v="58"/>
  </r>
  <r>
    <s v="3488"/>
    <s v="Tânia Ribeiro"/>
    <x v="2"/>
    <x v="256"/>
    <x v="0"/>
    <x v="2"/>
    <x v="1"/>
    <x v="1"/>
    <x v="1"/>
    <x v="0"/>
    <x v="0"/>
    <n v="10"/>
    <n v="20"/>
  </r>
  <r>
    <s v="3489"/>
    <s v="Ugo Dias"/>
    <x v="1"/>
    <x v="257"/>
    <x v="1"/>
    <x v="1"/>
    <x v="2"/>
    <x v="1"/>
    <x v="1"/>
    <x v="1"/>
    <x v="1"/>
    <n v="1"/>
    <n v="4"/>
  </r>
  <r>
    <s v="3490"/>
    <s v="Valéria Lima"/>
    <x v="0"/>
    <x v="258"/>
    <x v="0"/>
    <x v="0"/>
    <x v="0"/>
    <x v="0"/>
    <x v="0"/>
    <x v="0"/>
    <x v="0"/>
    <n v="15"/>
    <n v="50"/>
  </r>
  <r>
    <s v="3491"/>
    <s v="William Fernandes"/>
    <x v="2"/>
    <x v="259"/>
    <x v="1"/>
    <x v="2"/>
    <x v="0"/>
    <x v="1"/>
    <x v="1"/>
    <x v="0"/>
    <x v="0"/>
    <n v="5"/>
    <n v="25"/>
  </r>
  <r>
    <s v="3492"/>
    <s v="Xuxa Mendes"/>
    <x v="1"/>
    <x v="260"/>
    <x v="0"/>
    <x v="1"/>
    <x v="1"/>
    <x v="1"/>
    <x v="1"/>
    <x v="1"/>
    <x v="1"/>
    <n v="0"/>
    <n v="5"/>
  </r>
  <r>
    <s v="3493"/>
    <s v="Ygor Farias"/>
    <x v="0"/>
    <x v="261"/>
    <x v="1"/>
    <x v="0"/>
    <x v="2"/>
    <x v="0"/>
    <x v="0"/>
    <x v="0"/>
    <x v="0"/>
    <n v="20"/>
    <n v="45"/>
  </r>
  <r>
    <s v="3494"/>
    <s v="Zilda Barros"/>
    <x v="2"/>
    <x v="262"/>
    <x v="0"/>
    <x v="2"/>
    <x v="2"/>
    <x v="1"/>
    <x v="1"/>
    <x v="0"/>
    <x v="0"/>
    <n v="12"/>
    <n v="18"/>
  </r>
  <r>
    <s v="3495"/>
    <s v="Amanda Santos"/>
    <x v="1"/>
    <x v="263"/>
    <x v="1"/>
    <x v="1"/>
    <x v="0"/>
    <x v="1"/>
    <x v="1"/>
    <x v="1"/>
    <x v="1"/>
    <n v="2"/>
    <n v="3"/>
  </r>
  <r>
    <s v="3496"/>
    <s v="Bruno Costa"/>
    <x v="0"/>
    <x v="264"/>
    <x v="0"/>
    <x v="0"/>
    <x v="1"/>
    <x v="0"/>
    <x v="0"/>
    <x v="0"/>
    <x v="0"/>
    <n v="5"/>
    <n v="60"/>
  </r>
  <r>
    <s v="3497"/>
    <s v="Carla Rodrigues"/>
    <x v="2"/>
    <x v="265"/>
    <x v="1"/>
    <x v="2"/>
    <x v="0"/>
    <x v="1"/>
    <x v="1"/>
    <x v="0"/>
    <x v="0"/>
    <n v="10"/>
    <n v="20"/>
  </r>
  <r>
    <s v="3498"/>
    <s v="Diogo Pereira"/>
    <x v="1"/>
    <x v="266"/>
    <x v="0"/>
    <x v="1"/>
    <x v="2"/>
    <x v="1"/>
    <x v="1"/>
    <x v="1"/>
    <x v="1"/>
    <n v="0"/>
    <n v="5"/>
  </r>
  <r>
    <s v="3499"/>
    <s v="Elisa Correia"/>
    <x v="0"/>
    <x v="267"/>
    <x v="1"/>
    <x v="0"/>
    <x v="0"/>
    <x v="0"/>
    <x v="0"/>
    <x v="0"/>
    <x v="0"/>
    <n v="3"/>
    <n v="62"/>
  </r>
  <r>
    <s v="3500"/>
    <s v="Fábio Lourenço"/>
    <x v="2"/>
    <x v="268"/>
    <x v="0"/>
    <x v="2"/>
    <x v="1"/>
    <x v="1"/>
    <x v="1"/>
    <x v="0"/>
    <x v="0"/>
    <n v="15"/>
    <n v="15"/>
  </r>
  <r>
    <s v="3501"/>
    <s v="Gabriela Neves"/>
    <x v="1"/>
    <x v="269"/>
    <x v="1"/>
    <x v="1"/>
    <x v="0"/>
    <x v="1"/>
    <x v="1"/>
    <x v="1"/>
    <x v="1"/>
    <n v="1"/>
    <n v="4"/>
  </r>
  <r>
    <s v="3502"/>
    <s v="Henrique Gonçalves"/>
    <x v="0"/>
    <x v="270"/>
    <x v="0"/>
    <x v="0"/>
    <x v="2"/>
    <x v="0"/>
    <x v="0"/>
    <x v="0"/>
    <x v="0"/>
    <n v="7"/>
    <n v="58"/>
  </r>
  <r>
    <s v="3503"/>
    <s v="Íris Santos"/>
    <x v="2"/>
    <x v="271"/>
    <x v="1"/>
    <x v="2"/>
    <x v="0"/>
    <x v="1"/>
    <x v="1"/>
    <x v="0"/>
    <x v="0"/>
    <n v="10"/>
    <n v="20"/>
  </r>
  <r>
    <s v="3504"/>
    <s v="João Marcelo Alves"/>
    <x v="1"/>
    <x v="272"/>
    <x v="0"/>
    <x v="1"/>
    <x v="1"/>
    <x v="1"/>
    <x v="1"/>
    <x v="1"/>
    <x v="1"/>
    <n v="0"/>
    <n v="5"/>
  </r>
  <r>
    <s v="3505"/>
    <s v="Klara Fonseca"/>
    <x v="0"/>
    <x v="273"/>
    <x v="1"/>
    <x v="0"/>
    <x v="0"/>
    <x v="0"/>
    <x v="0"/>
    <x v="0"/>
    <x v="0"/>
    <n v="20"/>
    <n v="45"/>
  </r>
  <r>
    <s v="3506"/>
    <s v="Lucas Mendonça"/>
    <x v="2"/>
    <x v="274"/>
    <x v="0"/>
    <x v="2"/>
    <x v="2"/>
    <x v="1"/>
    <x v="1"/>
    <x v="0"/>
    <x v="0"/>
    <n v="15"/>
    <n v="15"/>
  </r>
  <r>
    <s v="3507"/>
    <s v="Marcela Torres"/>
    <x v="1"/>
    <x v="275"/>
    <x v="1"/>
    <x v="1"/>
    <x v="0"/>
    <x v="1"/>
    <x v="1"/>
    <x v="1"/>
    <x v="1"/>
    <n v="1"/>
    <n v="4"/>
  </r>
  <r>
    <s v="3508"/>
    <s v="Natália Castro"/>
    <x v="0"/>
    <x v="276"/>
    <x v="0"/>
    <x v="0"/>
    <x v="1"/>
    <x v="0"/>
    <x v="0"/>
    <x v="0"/>
    <x v="0"/>
    <n v="3"/>
    <n v="62"/>
  </r>
  <r>
    <s v="3509"/>
    <s v="Oscar Martins"/>
    <x v="2"/>
    <x v="277"/>
    <x v="1"/>
    <x v="2"/>
    <x v="0"/>
    <x v="1"/>
    <x v="1"/>
    <x v="0"/>
    <x v="0"/>
    <n v="10"/>
    <n v="20"/>
  </r>
  <r>
    <s v="3510"/>
    <s v="Patrícia Oliveira"/>
    <x v="1"/>
    <x v="278"/>
    <x v="0"/>
    <x v="1"/>
    <x v="2"/>
    <x v="1"/>
    <x v="1"/>
    <x v="1"/>
    <x v="1"/>
    <n v="0"/>
    <n v="5"/>
  </r>
  <r>
    <s v="3511"/>
    <s v="Quentin Nogueira"/>
    <x v="0"/>
    <x v="279"/>
    <x v="1"/>
    <x v="0"/>
    <x v="0"/>
    <x v="0"/>
    <x v="0"/>
    <x v="0"/>
    <x v="0"/>
    <n v="15"/>
    <n v="50"/>
  </r>
  <r>
    <s v="3512"/>
    <s v="Raquel Silva"/>
    <x v="2"/>
    <x v="280"/>
    <x v="0"/>
    <x v="2"/>
    <x v="1"/>
    <x v="1"/>
    <x v="1"/>
    <x v="0"/>
    <x v="0"/>
    <n v="15"/>
    <n v="15"/>
  </r>
  <r>
    <s v="3513"/>
    <s v="Sandro Gomes"/>
    <x v="1"/>
    <x v="281"/>
    <x v="1"/>
    <x v="1"/>
    <x v="0"/>
    <x v="1"/>
    <x v="1"/>
    <x v="1"/>
    <x v="1"/>
    <n v="1"/>
    <n v="4"/>
  </r>
  <r>
    <s v="3514"/>
    <s v="Tânia Machado"/>
    <x v="0"/>
    <x v="282"/>
    <x v="0"/>
    <x v="0"/>
    <x v="2"/>
    <x v="0"/>
    <x v="0"/>
    <x v="0"/>
    <x v="0"/>
    <n v="7"/>
    <n v="58"/>
  </r>
  <r>
    <s v="3515"/>
    <s v="Ursula Silva"/>
    <x v="2"/>
    <x v="283"/>
    <x v="1"/>
    <x v="2"/>
    <x v="0"/>
    <x v="1"/>
    <x v="1"/>
    <x v="0"/>
    <x v="0"/>
    <n v="10"/>
    <n v="20"/>
  </r>
  <r>
    <s v="3516"/>
    <s v="Vanessa Moraes"/>
    <x v="1"/>
    <x v="284"/>
    <x v="0"/>
    <x v="1"/>
    <x v="1"/>
    <x v="1"/>
    <x v="1"/>
    <x v="1"/>
    <x v="1"/>
    <n v="0"/>
    <n v="5"/>
  </r>
  <r>
    <s v="3517"/>
    <s v="William Carvalho"/>
    <x v="0"/>
    <x v="285"/>
    <x v="1"/>
    <x v="0"/>
    <x v="0"/>
    <x v="0"/>
    <x v="0"/>
    <x v="0"/>
    <x v="0"/>
    <n v="20"/>
    <n v="45"/>
  </r>
  <r>
    <s v="3518"/>
    <s v="Xavier Reis"/>
    <x v="2"/>
    <x v="286"/>
    <x v="0"/>
    <x v="2"/>
    <x v="2"/>
    <x v="1"/>
    <x v="1"/>
    <x v="0"/>
    <x v="0"/>
    <n v="12"/>
    <n v="18"/>
  </r>
  <r>
    <s v="3519"/>
    <s v="Yasmin Rocha"/>
    <x v="1"/>
    <x v="287"/>
    <x v="1"/>
    <x v="1"/>
    <x v="0"/>
    <x v="1"/>
    <x v="1"/>
    <x v="1"/>
    <x v="1"/>
    <n v="2"/>
    <n v="3"/>
  </r>
  <r>
    <s v="3520"/>
    <s v="Zacarias Duarte"/>
    <x v="0"/>
    <x v="288"/>
    <x v="0"/>
    <x v="0"/>
    <x v="1"/>
    <x v="0"/>
    <x v="0"/>
    <x v="0"/>
    <x v="0"/>
    <n v="5"/>
    <n v="60"/>
  </r>
  <r>
    <s v="3521"/>
    <s v="Amanda Freitas"/>
    <x v="2"/>
    <x v="289"/>
    <x v="1"/>
    <x v="2"/>
    <x v="0"/>
    <x v="1"/>
    <x v="1"/>
    <x v="0"/>
    <x v="0"/>
    <n v="10"/>
    <n v="20"/>
  </r>
  <r>
    <s v="3522"/>
    <s v="Bruno Almeida"/>
    <x v="1"/>
    <x v="290"/>
    <x v="0"/>
    <x v="1"/>
    <x v="2"/>
    <x v="1"/>
    <x v="1"/>
    <x v="1"/>
    <x v="1"/>
    <n v="0"/>
    <n v="5"/>
  </r>
  <r>
    <s v="3523"/>
    <s v="Carla Siqueira"/>
    <x v="0"/>
    <x v="291"/>
    <x v="1"/>
    <x v="0"/>
    <x v="0"/>
    <x v="0"/>
    <x v="0"/>
    <x v="0"/>
    <x v="0"/>
    <n v="3"/>
    <n v="62"/>
  </r>
  <r>
    <s v="3524"/>
    <s v="Diogo Ramos"/>
    <x v="2"/>
    <x v="292"/>
    <x v="0"/>
    <x v="2"/>
    <x v="1"/>
    <x v="1"/>
    <x v="1"/>
    <x v="0"/>
    <x v="0"/>
    <n v="15"/>
    <n v="15"/>
  </r>
  <r>
    <s v="3525"/>
    <s v="Elisa Magalhães"/>
    <x v="1"/>
    <x v="293"/>
    <x v="1"/>
    <x v="1"/>
    <x v="0"/>
    <x v="1"/>
    <x v="1"/>
    <x v="1"/>
    <x v="1"/>
    <n v="1"/>
    <n v="4"/>
  </r>
  <r>
    <s v="3526"/>
    <s v="Carlos Baiano"/>
    <x v="0"/>
    <x v="294"/>
    <x v="1"/>
    <x v="0"/>
    <x v="2"/>
    <x v="0"/>
    <x v="0"/>
    <x v="0"/>
    <x v="0"/>
    <n v="3"/>
    <n v="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75A72-1B2E-42D9-A0B4-2DD5AB2BCB07}" name="Tabela dinâ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7">
  <location ref="B34:E37" firstHeaderRow="0" firstDataRow="1" firstDataCol="1"/>
  <pivotFields count="15">
    <pivotField showAll="0"/>
    <pivotField showAll="0"/>
    <pivotField axis="axisRow" multipleItemSelectionAllowed="1" showAll="0">
      <items count="4">
        <item h="1" x="1"/>
        <item x="2"/>
        <item x="0"/>
        <item t="default"/>
      </items>
    </pivotField>
    <pivotField numFmtId="14" showAll="0">
      <items count="296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t="default"/>
      </items>
    </pivotField>
    <pivotField showAll="0">
      <items count="3">
        <item x="1"/>
        <item x="0"/>
        <item t="default"/>
      </items>
    </pivotField>
    <pivotField numFmtId="164" showAll="0">
      <items count="4">
        <item x="1"/>
        <item x="2"/>
        <item x="0"/>
        <item t="default"/>
      </items>
    </pivotField>
    <pivotField showAll="0">
      <items count="4">
        <item h="1" x="1"/>
        <item x="0"/>
        <item h="1" x="2"/>
        <item t="default"/>
      </items>
    </pivotField>
    <pivotField showAll="0">
      <items count="3">
        <item x="1"/>
        <item x="0"/>
        <item t="default"/>
      </items>
    </pivotField>
    <pivotField dataField="1" numFmtId="164"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dataField="1" numFmtId="164" showAll="0">
      <items count="3">
        <item x="1"/>
        <item x="0"/>
        <item t="default"/>
      </items>
    </pivotField>
    <pivotField showAll="0"/>
    <pivotField dataField="1" numFmtId="164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"/>
  </rowFields>
  <rowItems count="3"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EA Play Season Pass_x000a_Price" fld="8" baseField="0" baseItem="0"/>
    <dataField name="Soma de Minecraft Season Pass Price" fld="10" baseField="0" baseItem="0"/>
    <dataField name="Soma de Total Value" fld="12" baseField="0" baseItem="0"/>
  </dataFields>
  <formats count="2">
    <format dxfId="1">
      <pivotArea collapsedLevelsAreSubtotals="1" fieldPosition="0">
        <references count="1">
          <reference field="2" count="0"/>
        </references>
      </pivotArea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02E67C-9B1F-4DAF-92B3-4934706E0285}" name="Tabela dinâmica2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9">
  <location ref="B20:E25" firstHeaderRow="1" firstDataRow="2" firstDataCol="1"/>
  <pivotFields count="15">
    <pivotField showAll="0"/>
    <pivotField showAll="0"/>
    <pivotField showAll="0">
      <items count="4">
        <item x="1"/>
        <item x="2"/>
        <item x="0"/>
        <item t="default"/>
      </items>
    </pivotField>
    <pivotField numFmtId="14" showAll="0">
      <items count="296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t="default"/>
      </items>
    </pivotField>
    <pivotField axis="axisCol" showAll="0">
      <items count="3">
        <item x="1"/>
        <item x="0"/>
        <item t="default"/>
      </items>
    </pivotField>
    <pivotField numFmtId="164" showAll="0">
      <items count="4">
        <item x="1"/>
        <item x="2"/>
        <item x="0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>
      <items count="3">
        <item x="1"/>
        <item x="0"/>
        <item t="default"/>
      </items>
    </pivotField>
    <pivotField numFmtId="164" showAll="0"/>
    <pivotField showAll="0"/>
    <pivotField numFmtId="164" showAll="0"/>
    <pivotField showAll="0"/>
    <pivotField dataField="1" numFmtId="164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Contagem de Total Value" fld="12" subtotal="count" baseField="2" baseItem="0"/>
  </dataFields>
  <formats count="1">
    <format dxfId="2">
      <pivotArea dataOnly="0" labelOnly="1" fieldPosition="0">
        <references count="1">
          <reference field="4" count="1">
            <x v="0"/>
          </reference>
        </references>
      </pivotArea>
    </format>
  </formats>
  <chartFormats count="4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8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8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24F564-6978-48BE-801A-8D4F2DC7B70E}" name="Tabela dinâmica1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6">
  <location ref="B8:C12" firstHeaderRow="1" firstDataRow="1" firstDataCol="1"/>
  <pivotFields count="15"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4" showAll="0">
      <items count="296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t="default"/>
      </items>
    </pivotField>
    <pivotField showAll="0"/>
    <pivotField dataField="1" numFmtId="164" showAll="0"/>
    <pivotField showAll="0">
      <items count="4">
        <item h="1" x="1"/>
        <item x="0"/>
        <item h="1" x="2"/>
        <item t="default"/>
      </items>
    </pivotField>
    <pivotField showAll="0"/>
    <pivotField numFmtId="164" showAll="0"/>
    <pivotField showAll="0"/>
    <pivotField numFmtId="164" showAll="0"/>
    <pivotField showAll="0"/>
    <pivotField numFmtId="164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Subscription Price" fld="5" baseField="0" baseItem="0"/>
  </dataFields>
  <formats count="2">
    <format dxfId="4">
      <pivotArea collapsedLevelsAreSubtotals="1" fieldPosition="0">
        <references count="1">
          <reference field="2" count="0"/>
        </references>
      </pivotArea>
    </format>
    <format dxfId="3">
      <pivotArea grandRow="1" outline="0" collapsedLevelsAreSubtotals="1" fieldPosition="0"/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7AFE32-4A8B-43E3-BF73-804C201FC656}" name="Tabela dinâmica7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12">
  <location ref="B44:F58" firstHeaderRow="1" firstDataRow="2" firstDataCol="1"/>
  <pivotFields count="15">
    <pivotField showAll="0"/>
    <pivotField showAll="0"/>
    <pivotField axis="axisCol" showAll="0">
      <items count="4">
        <item x="1"/>
        <item x="2"/>
        <item x="0"/>
        <item t="default"/>
      </items>
    </pivotField>
    <pivotField numFmtId="14" showAll="0">
      <items count="296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t="default"/>
      </items>
    </pivotField>
    <pivotField showAll="0"/>
    <pivotField numFmtId="164" showAll="0"/>
    <pivotField showAll="0"/>
    <pivotField showAll="0"/>
    <pivotField numFmtId="164" showAll="0"/>
    <pivotField showAll="0"/>
    <pivotField numFmtId="164" showAll="0"/>
    <pivotField showAll="0"/>
    <pivotField dataField="1" numFmtId="164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4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oma de Total Value" fld="12" baseField="0" baseItem="0"/>
  </dataFields>
  <formats count="2">
    <format dxfId="6">
      <pivotArea collapsedLevelsAreSubtotals="1" fieldPosition="0">
        <references count="1">
          <reference field="2" count="0"/>
        </references>
      </pivotArea>
    </format>
    <format dxfId="5">
      <pivotArea grandRow="1" outline="0" collapsedLevelsAreSubtotals="1" fieldPosition="0"/>
    </format>
  </formats>
  <chartFormats count="6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9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bscription_Type" xr10:uid="{6EC80212-4EAF-40FD-9879-D0B26E6945CA}" sourceName="Subscription Type">
  <pivotTables>
    <pivotTable tabId="3" name="Tabela dinâmica3"/>
    <pivotTable tabId="3" name="Tabela dinâmica1"/>
  </pivotTables>
  <data>
    <tabular pivotCacheId="1852378856">
      <items count="3">
        <i x="1"/>
        <i x="0" s="1"/>
        <i x="2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scription Type" xr10:uid="{571AF3FE-D506-4754-B696-8278ACAF60A2}" cache="SegmentaçãodeDados_Subscription_Type" caption="Filtering" style="Estilo de Segmentação de Dados 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A29381-8384-4BF7-8083-B345DF86B279}" name="Tbl_xbox" displayName="Tbl_xbox" ref="A1:M297" totalsRowShown="0">
  <autoFilter ref="A1:M297" xr:uid="{01A29381-8384-4BF7-8083-B345DF86B279}"/>
  <tableColumns count="13">
    <tableColumn id="1" xr3:uid="{B0982806-E446-460A-B14F-2C0FEDCA350C}" name="Subscriber ID" dataDxfId="18"/>
    <tableColumn id="2" xr3:uid="{C8F810AB-1CE8-43F1-87AB-4C000C9BF2D9}" name="Name" dataDxfId="17"/>
    <tableColumn id="3" xr3:uid="{65BB15D9-2143-4160-919C-7E16332A9086}" name="Plan" dataDxfId="16"/>
    <tableColumn id="4" xr3:uid="{9685D564-7B78-4EAF-847C-C13F95C7CE8F}" name="Start Date" dataDxfId="15"/>
    <tableColumn id="5" xr3:uid="{8B06DDFF-F396-4AC0-83CB-2BAA580F2A93}" name="Auto Renewal" dataDxfId="14"/>
    <tableColumn id="6" xr3:uid="{5A00BCAD-B0E6-48FF-9804-868139F7434E}" name="Subscription Price" dataDxfId="13"/>
    <tableColumn id="7" xr3:uid="{76B789DA-E6AC-4599-8275-5720E2EB7DDA}" name="Subscription Type" dataDxfId="12"/>
    <tableColumn id="8" xr3:uid="{C7E59A28-8CCA-456E-8C3B-6C78104306F6}" name="EA Play Season Pass" dataDxfId="11"/>
    <tableColumn id="9" xr3:uid="{1DE6956E-8EE2-47F1-AC26-80B601B81F84}" name="EA Play Season Pass_x000a_Price" dataDxfId="10"/>
    <tableColumn id="10" xr3:uid="{1FC6894C-D1AB-4F74-ADEE-8B486393EBF0}" name="Minecraft Season Pass" dataDxfId="9"/>
    <tableColumn id="11" xr3:uid="{764AEF2F-0775-426F-8CA6-E6D8F9426BCE}" name="Minecraft Season Pass Price" dataDxfId="8"/>
    <tableColumn id="12" xr3:uid="{702B5CE9-BC89-4E92-9915-5AA7C2D50037}" name="Coupon Value"/>
    <tableColumn id="13" xr3:uid="{152845F7-CCFB-44A6-93DD-C22E16E67F45}" name="Total Value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36D17-D53F-43C7-8933-C8AE306DDABC}">
  <sheetPr codeName="Planilha6"/>
  <dimension ref="A1"/>
  <sheetViews>
    <sheetView tabSelected="1" workbookViewId="0">
      <selection activeCell="F12" sqref="F12"/>
    </sheetView>
  </sheetViews>
  <sheetFormatPr defaultColWidth="0" defaultRowHeight="14.4" x14ac:dyDescent="0.3"/>
  <cols>
    <col min="1" max="6" width="8.88671875" style="28" customWidth="1"/>
    <col min="7" max="16384" width="8.88671875" style="28" hidden="1"/>
  </cols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E6A2A-B1C4-4AE8-838E-FC306F5669E0}">
  <sheetPr codeName="Planilha1">
    <tabColor theme="3" tint="0.749992370372631"/>
  </sheetPr>
  <dimension ref="B3:P21"/>
  <sheetViews>
    <sheetView showGridLines="0" topLeftCell="A9" zoomScaleNormal="100" workbookViewId="0">
      <selection activeCell="A22" sqref="A22"/>
    </sheetView>
  </sheetViews>
  <sheetFormatPr defaultRowHeight="14.4" x14ac:dyDescent="0.3"/>
  <cols>
    <col min="9" max="9" width="3.5546875" customWidth="1"/>
  </cols>
  <sheetData>
    <row r="3" spans="2:16" ht="20.399999999999999" thickBot="1" x14ac:dyDescent="0.45">
      <c r="B3" s="4" t="s">
        <v>604</v>
      </c>
      <c r="C3" s="4"/>
      <c r="D3" s="4"/>
      <c r="E3" s="4"/>
      <c r="F3" s="4"/>
      <c r="G3" s="4"/>
      <c r="H3" s="4"/>
    </row>
    <row r="4" spans="2:16" ht="15" thickTop="1" x14ac:dyDescent="0.3"/>
    <row r="5" spans="2:16" x14ac:dyDescent="0.3">
      <c r="B5" s="11" t="s">
        <v>610</v>
      </c>
      <c r="C5" t="s">
        <v>601</v>
      </c>
      <c r="E5" s="5" t="s">
        <v>603</v>
      </c>
      <c r="F5" t="s">
        <v>602</v>
      </c>
    </row>
    <row r="6" spans="2:16" x14ac:dyDescent="0.3">
      <c r="B6" s="9" t="s">
        <v>609</v>
      </c>
      <c r="C6" t="s">
        <v>601</v>
      </c>
    </row>
    <row r="7" spans="2:16" x14ac:dyDescent="0.3">
      <c r="B7" s="6" t="s">
        <v>608</v>
      </c>
      <c r="C7" t="s">
        <v>600</v>
      </c>
    </row>
    <row r="8" spans="2:16" x14ac:dyDescent="0.3">
      <c r="B8" s="7" t="s">
        <v>607</v>
      </c>
      <c r="C8" t="s">
        <v>600</v>
      </c>
    </row>
    <row r="9" spans="2:16" x14ac:dyDescent="0.3">
      <c r="B9" s="8" t="s">
        <v>606</v>
      </c>
      <c r="C9" t="s">
        <v>605</v>
      </c>
    </row>
    <row r="12" spans="2:16" ht="20.399999999999999" thickBot="1" x14ac:dyDescent="0.45">
      <c r="B12" s="4" t="s">
        <v>599</v>
      </c>
      <c r="C12" s="4"/>
      <c r="D12" s="4"/>
      <c r="E12" s="4"/>
      <c r="F12" s="4"/>
      <c r="G12" s="4"/>
      <c r="H12" s="4"/>
      <c r="J12" s="4" t="s">
        <v>598</v>
      </c>
      <c r="K12" s="4"/>
      <c r="L12" s="4"/>
      <c r="M12" s="4"/>
      <c r="N12" s="4"/>
      <c r="O12" s="4"/>
      <c r="P12" s="4"/>
    </row>
    <row r="13" spans="2:16" ht="15" thickTop="1" x14ac:dyDescent="0.3">
      <c r="B13" s="3"/>
      <c r="C13" s="3"/>
      <c r="D13" s="3"/>
      <c r="E13" s="3"/>
      <c r="F13" s="3"/>
      <c r="G13" s="3"/>
      <c r="H13" s="3"/>
    </row>
    <row r="14" spans="2:16" x14ac:dyDescent="0.3">
      <c r="B14" s="3"/>
      <c r="C14" s="3"/>
      <c r="D14" s="3"/>
      <c r="E14" s="3"/>
      <c r="F14" s="3"/>
      <c r="G14" s="3"/>
      <c r="H14" s="3"/>
    </row>
    <row r="15" spans="2:16" x14ac:dyDescent="0.3">
      <c r="B15" s="3"/>
      <c r="C15" s="3"/>
      <c r="D15" s="3"/>
      <c r="E15" s="3"/>
      <c r="F15" s="3"/>
      <c r="G15" s="3"/>
      <c r="H15" s="3"/>
    </row>
    <row r="16" spans="2:16" x14ac:dyDescent="0.3">
      <c r="B16" s="3"/>
      <c r="C16" s="3"/>
      <c r="D16" s="3"/>
      <c r="E16" s="3"/>
      <c r="F16" s="3"/>
      <c r="G16" s="3"/>
      <c r="H16" s="3"/>
    </row>
    <row r="17" spans="2:8" x14ac:dyDescent="0.3">
      <c r="B17" s="3"/>
      <c r="C17" s="3"/>
      <c r="D17" s="3"/>
      <c r="E17" s="3"/>
      <c r="F17" s="3"/>
      <c r="G17" s="3"/>
      <c r="H17" s="3"/>
    </row>
    <row r="18" spans="2:8" x14ac:dyDescent="0.3">
      <c r="B18" s="3"/>
      <c r="C18" s="3"/>
      <c r="D18" s="3"/>
      <c r="E18" s="3"/>
      <c r="F18" s="3"/>
      <c r="G18" s="3"/>
      <c r="H18" s="3"/>
    </row>
    <row r="19" spans="2:8" x14ac:dyDescent="0.3">
      <c r="B19" s="3"/>
      <c r="C19" s="3"/>
      <c r="D19" s="3"/>
      <c r="E19" s="3"/>
      <c r="F19" s="3"/>
      <c r="G19" s="3"/>
      <c r="H19" s="3"/>
    </row>
    <row r="20" spans="2:8" x14ac:dyDescent="0.3">
      <c r="B20" s="3"/>
      <c r="C20" s="3"/>
      <c r="D20" s="3"/>
      <c r="E20" s="3"/>
      <c r="F20" s="3"/>
      <c r="G20" s="3"/>
      <c r="H20" s="3"/>
    </row>
    <row r="21" spans="2:8" x14ac:dyDescent="0.3">
      <c r="B21" s="3"/>
      <c r="C21" s="3"/>
      <c r="D21" s="3"/>
      <c r="E21" s="3"/>
      <c r="F21" s="3"/>
      <c r="G21" s="3"/>
      <c r="H21" s="3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E3838-26B0-4B9C-B603-AAC2271729C2}">
  <sheetPr codeName="Planilha2"/>
  <dimension ref="A1:M297"/>
  <sheetViews>
    <sheetView zoomScale="85" zoomScaleNormal="85" workbookViewId="0">
      <selection activeCell="A22" sqref="A22"/>
    </sheetView>
  </sheetViews>
  <sheetFormatPr defaultColWidth="0" defaultRowHeight="14.4" x14ac:dyDescent="0.3"/>
  <cols>
    <col min="1" max="1" width="15.21875" bestFit="1" customWidth="1"/>
    <col min="2" max="2" width="18.109375" bestFit="1" customWidth="1"/>
    <col min="3" max="3" width="8.33203125" bestFit="1" customWidth="1"/>
    <col min="4" max="4" width="12.6640625" bestFit="1" customWidth="1"/>
    <col min="5" max="5" width="16.21875" style="12" bestFit="1" customWidth="1"/>
    <col min="6" max="6" width="19.88671875" style="15" bestFit="1" customWidth="1"/>
    <col min="7" max="7" width="19.6640625" bestFit="1" customWidth="1"/>
    <col min="8" max="8" width="21.5546875" style="12" bestFit="1" customWidth="1"/>
    <col min="9" max="9" width="27.21875" style="15" bestFit="1" customWidth="1"/>
    <col min="10" max="10" width="23.6640625" style="12" bestFit="1" customWidth="1"/>
    <col min="11" max="11" width="28.77734375" style="15" bestFit="1" customWidth="1"/>
    <col min="12" max="12" width="15.88671875" style="19" customWidth="1"/>
    <col min="13" max="13" width="13.5546875" style="15" bestFit="1" customWidth="1"/>
    <col min="14" max="16384" width="8.88671875" hidden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s="14" t="s">
        <v>4</v>
      </c>
      <c r="F1" s="15" t="s">
        <v>5</v>
      </c>
      <c r="G1" t="s">
        <v>6</v>
      </c>
      <c r="H1" s="14" t="s">
        <v>7</v>
      </c>
      <c r="I1" s="15" t="s">
        <v>8</v>
      </c>
      <c r="J1" s="14" t="s">
        <v>9</v>
      </c>
      <c r="K1" s="15" t="s">
        <v>10</v>
      </c>
      <c r="L1" s="19" t="s">
        <v>11</v>
      </c>
      <c r="M1" s="15" t="s">
        <v>12</v>
      </c>
    </row>
    <row r="2" spans="1:13" x14ac:dyDescent="0.3">
      <c r="A2" s="1" t="s">
        <v>13</v>
      </c>
      <c r="B2" s="1" t="s">
        <v>14</v>
      </c>
      <c r="C2" s="1" t="s">
        <v>15</v>
      </c>
      <c r="D2" s="2">
        <v>45292</v>
      </c>
      <c r="E2" s="13" t="s">
        <v>16</v>
      </c>
      <c r="F2" s="15">
        <v>15</v>
      </c>
      <c r="G2" s="1" t="s">
        <v>17</v>
      </c>
      <c r="H2" s="13" t="s">
        <v>16</v>
      </c>
      <c r="I2" s="15">
        <v>30</v>
      </c>
      <c r="J2" s="13" t="s">
        <v>16</v>
      </c>
      <c r="K2" s="15">
        <v>20</v>
      </c>
      <c r="L2">
        <v>5</v>
      </c>
      <c r="M2" s="15">
        <v>60</v>
      </c>
    </row>
    <row r="3" spans="1:13" x14ac:dyDescent="0.3">
      <c r="A3" s="1" t="s">
        <v>18</v>
      </c>
      <c r="B3" s="1" t="s">
        <v>19</v>
      </c>
      <c r="C3" s="1" t="s">
        <v>20</v>
      </c>
      <c r="D3" s="2">
        <v>45306</v>
      </c>
      <c r="E3" s="13" t="s">
        <v>21</v>
      </c>
      <c r="F3" s="15">
        <v>5</v>
      </c>
      <c r="G3" s="1" t="s">
        <v>22</v>
      </c>
      <c r="H3" s="13" t="s">
        <v>21</v>
      </c>
      <c r="I3" s="15">
        <v>0</v>
      </c>
      <c r="J3" s="13" t="s">
        <v>21</v>
      </c>
      <c r="K3" s="15">
        <v>0</v>
      </c>
      <c r="L3" s="19">
        <v>0</v>
      </c>
      <c r="M3" s="15">
        <v>5</v>
      </c>
    </row>
    <row r="4" spans="1:13" x14ac:dyDescent="0.3">
      <c r="A4" s="1" t="s">
        <v>23</v>
      </c>
      <c r="B4" s="1" t="s">
        <v>24</v>
      </c>
      <c r="C4" s="1" t="s">
        <v>25</v>
      </c>
      <c r="D4" s="2">
        <v>45332</v>
      </c>
      <c r="E4" s="13" t="s">
        <v>16</v>
      </c>
      <c r="F4" s="15">
        <v>10</v>
      </c>
      <c r="G4" s="1" t="s">
        <v>26</v>
      </c>
      <c r="H4" s="13" t="s">
        <v>21</v>
      </c>
      <c r="I4" s="15">
        <v>0</v>
      </c>
      <c r="J4" s="13" t="s">
        <v>16</v>
      </c>
      <c r="K4" s="15">
        <v>20</v>
      </c>
      <c r="L4">
        <v>10</v>
      </c>
      <c r="M4" s="15">
        <v>20</v>
      </c>
    </row>
    <row r="5" spans="1:13" x14ac:dyDescent="0.3">
      <c r="A5" s="1" t="s">
        <v>27</v>
      </c>
      <c r="B5" s="1" t="s">
        <v>28</v>
      </c>
      <c r="C5" s="1" t="s">
        <v>15</v>
      </c>
      <c r="D5" s="2">
        <v>45342</v>
      </c>
      <c r="E5" s="13" t="s">
        <v>21</v>
      </c>
      <c r="F5" s="15">
        <v>15</v>
      </c>
      <c r="G5" s="1" t="s">
        <v>17</v>
      </c>
      <c r="H5" s="13" t="s">
        <v>16</v>
      </c>
      <c r="I5" s="15">
        <v>30</v>
      </c>
      <c r="J5" s="13" t="s">
        <v>16</v>
      </c>
      <c r="K5" s="15">
        <v>20</v>
      </c>
      <c r="L5">
        <v>3</v>
      </c>
      <c r="M5" s="15">
        <v>62</v>
      </c>
    </row>
    <row r="6" spans="1:13" x14ac:dyDescent="0.3">
      <c r="A6" s="1" t="s">
        <v>29</v>
      </c>
      <c r="B6" s="1" t="s">
        <v>30</v>
      </c>
      <c r="C6" s="1" t="s">
        <v>20</v>
      </c>
      <c r="D6" s="2">
        <v>45356</v>
      </c>
      <c r="E6" s="13" t="s">
        <v>16</v>
      </c>
      <c r="F6" s="15">
        <v>5</v>
      </c>
      <c r="G6" s="1" t="s">
        <v>17</v>
      </c>
      <c r="H6" s="13" t="s">
        <v>21</v>
      </c>
      <c r="I6" s="15">
        <v>0</v>
      </c>
      <c r="J6" s="13" t="s">
        <v>21</v>
      </c>
      <c r="K6" s="15">
        <v>0</v>
      </c>
      <c r="L6" s="19">
        <v>1</v>
      </c>
      <c r="M6" s="15">
        <v>4</v>
      </c>
    </row>
    <row r="7" spans="1:13" x14ac:dyDescent="0.3">
      <c r="A7" s="1" t="s">
        <v>31</v>
      </c>
      <c r="B7" s="1" t="s">
        <v>32</v>
      </c>
      <c r="C7" s="1" t="s">
        <v>25</v>
      </c>
      <c r="D7" s="2">
        <v>45353</v>
      </c>
      <c r="E7" s="13" t="s">
        <v>21</v>
      </c>
      <c r="F7" s="15">
        <v>10</v>
      </c>
      <c r="G7" s="1" t="s">
        <v>17</v>
      </c>
      <c r="H7" s="13" t="s">
        <v>21</v>
      </c>
      <c r="I7" s="15">
        <v>0</v>
      </c>
      <c r="J7" s="13" t="s">
        <v>16</v>
      </c>
      <c r="K7" s="15">
        <v>20</v>
      </c>
      <c r="L7">
        <v>2</v>
      </c>
      <c r="M7" s="15">
        <v>28</v>
      </c>
    </row>
    <row r="8" spans="1:13" x14ac:dyDescent="0.3">
      <c r="A8" s="1" t="s">
        <v>33</v>
      </c>
      <c r="B8" s="1" t="s">
        <v>34</v>
      </c>
      <c r="C8" s="1" t="s">
        <v>15</v>
      </c>
      <c r="D8" s="2">
        <v>45354</v>
      </c>
      <c r="E8" s="13" t="s">
        <v>16</v>
      </c>
      <c r="F8" s="15">
        <v>15</v>
      </c>
      <c r="G8" s="1" t="s">
        <v>26</v>
      </c>
      <c r="H8" s="13" t="s">
        <v>16</v>
      </c>
      <c r="I8" s="15">
        <v>30</v>
      </c>
      <c r="J8" s="13" t="s">
        <v>16</v>
      </c>
      <c r="K8" s="15">
        <v>20</v>
      </c>
      <c r="L8">
        <v>10</v>
      </c>
      <c r="M8" s="15">
        <v>55</v>
      </c>
    </row>
    <row r="9" spans="1:13" x14ac:dyDescent="0.3">
      <c r="A9" s="1" t="s">
        <v>35</v>
      </c>
      <c r="B9" s="1" t="s">
        <v>36</v>
      </c>
      <c r="C9" s="1" t="s">
        <v>20</v>
      </c>
      <c r="D9" s="2">
        <v>45355</v>
      </c>
      <c r="E9" s="13" t="s">
        <v>16</v>
      </c>
      <c r="F9" s="15">
        <v>5</v>
      </c>
      <c r="G9" s="1" t="s">
        <v>22</v>
      </c>
      <c r="H9" s="13" t="s">
        <v>21</v>
      </c>
      <c r="I9" s="15">
        <v>0</v>
      </c>
      <c r="J9" s="13" t="s">
        <v>21</v>
      </c>
      <c r="K9" s="15">
        <v>0</v>
      </c>
      <c r="L9" s="19">
        <v>0</v>
      </c>
      <c r="M9" s="15">
        <v>5</v>
      </c>
    </row>
    <row r="10" spans="1:13" x14ac:dyDescent="0.3">
      <c r="A10" s="1" t="s">
        <v>37</v>
      </c>
      <c r="B10" s="1" t="s">
        <v>38</v>
      </c>
      <c r="C10" s="1" t="s">
        <v>15</v>
      </c>
      <c r="D10" s="2">
        <v>45356</v>
      </c>
      <c r="E10" s="13" t="s">
        <v>21</v>
      </c>
      <c r="F10" s="15">
        <v>15</v>
      </c>
      <c r="G10" s="1" t="s">
        <v>17</v>
      </c>
      <c r="H10" s="13" t="s">
        <v>16</v>
      </c>
      <c r="I10" s="15">
        <v>30</v>
      </c>
      <c r="J10" s="13" t="s">
        <v>16</v>
      </c>
      <c r="K10" s="15">
        <v>20</v>
      </c>
      <c r="L10">
        <v>5</v>
      </c>
      <c r="M10" s="15">
        <v>60</v>
      </c>
    </row>
    <row r="11" spans="1:13" x14ac:dyDescent="0.3">
      <c r="A11" s="1" t="s">
        <v>39</v>
      </c>
      <c r="B11" s="1" t="s">
        <v>40</v>
      </c>
      <c r="C11" s="1" t="s">
        <v>25</v>
      </c>
      <c r="D11" s="2">
        <v>45357</v>
      </c>
      <c r="E11" s="13" t="s">
        <v>16</v>
      </c>
      <c r="F11" s="15">
        <v>10</v>
      </c>
      <c r="G11" s="1" t="s">
        <v>26</v>
      </c>
      <c r="H11" s="13" t="s">
        <v>21</v>
      </c>
      <c r="I11" s="15">
        <v>0</v>
      </c>
      <c r="J11" s="13" t="s">
        <v>16</v>
      </c>
      <c r="K11" s="15">
        <v>20</v>
      </c>
      <c r="L11">
        <v>15</v>
      </c>
      <c r="M11" s="15">
        <v>15</v>
      </c>
    </row>
    <row r="12" spans="1:13" x14ac:dyDescent="0.3">
      <c r="A12" s="1" t="s">
        <v>41</v>
      </c>
      <c r="B12" s="1" t="s">
        <v>42</v>
      </c>
      <c r="C12" s="1" t="s">
        <v>20</v>
      </c>
      <c r="D12" s="2">
        <v>45358</v>
      </c>
      <c r="E12" s="13" t="s">
        <v>21</v>
      </c>
      <c r="F12" s="15">
        <v>5</v>
      </c>
      <c r="G12" s="1" t="s">
        <v>17</v>
      </c>
      <c r="H12" s="13" t="s">
        <v>21</v>
      </c>
      <c r="I12" s="15">
        <v>0</v>
      </c>
      <c r="J12" s="13" t="s">
        <v>21</v>
      </c>
      <c r="K12" s="15">
        <v>0</v>
      </c>
      <c r="L12" s="19">
        <v>1</v>
      </c>
      <c r="M12" s="15">
        <v>4</v>
      </c>
    </row>
    <row r="13" spans="1:13" x14ac:dyDescent="0.3">
      <c r="A13" s="1" t="s">
        <v>43</v>
      </c>
      <c r="B13" s="1" t="s">
        <v>44</v>
      </c>
      <c r="C13" s="1" t="s">
        <v>15</v>
      </c>
      <c r="D13" s="2">
        <v>45359</v>
      </c>
      <c r="E13" s="13" t="s">
        <v>16</v>
      </c>
      <c r="F13" s="15">
        <v>15</v>
      </c>
      <c r="G13" s="1" t="s">
        <v>22</v>
      </c>
      <c r="H13" s="13" t="s">
        <v>16</v>
      </c>
      <c r="I13" s="15">
        <v>30</v>
      </c>
      <c r="J13" s="13" t="s">
        <v>16</v>
      </c>
      <c r="K13" s="15">
        <v>20</v>
      </c>
      <c r="L13">
        <v>20</v>
      </c>
      <c r="M13" s="15">
        <v>45</v>
      </c>
    </row>
    <row r="14" spans="1:13" x14ac:dyDescent="0.3">
      <c r="A14" s="1" t="s">
        <v>45</v>
      </c>
      <c r="B14" s="1" t="s">
        <v>46</v>
      </c>
      <c r="C14" s="1" t="s">
        <v>25</v>
      </c>
      <c r="D14" s="2">
        <v>45360</v>
      </c>
      <c r="E14" s="13" t="s">
        <v>21</v>
      </c>
      <c r="F14" s="15">
        <v>10</v>
      </c>
      <c r="G14" s="1" t="s">
        <v>17</v>
      </c>
      <c r="H14" s="13" t="s">
        <v>21</v>
      </c>
      <c r="I14" s="15">
        <v>0</v>
      </c>
      <c r="J14" s="13" t="s">
        <v>16</v>
      </c>
      <c r="K14" s="15">
        <v>20</v>
      </c>
      <c r="L14">
        <v>10</v>
      </c>
      <c r="M14" s="15">
        <v>20</v>
      </c>
    </row>
    <row r="15" spans="1:13" x14ac:dyDescent="0.3">
      <c r="A15" s="1" t="s">
        <v>47</v>
      </c>
      <c r="B15" s="1" t="s">
        <v>48</v>
      </c>
      <c r="C15" s="1" t="s">
        <v>20</v>
      </c>
      <c r="D15" s="2">
        <v>45361</v>
      </c>
      <c r="E15" s="13" t="s">
        <v>16</v>
      </c>
      <c r="F15" s="15">
        <v>5</v>
      </c>
      <c r="G15" s="1" t="s">
        <v>26</v>
      </c>
      <c r="H15" s="13" t="s">
        <v>21</v>
      </c>
      <c r="I15" s="15">
        <v>0</v>
      </c>
      <c r="J15" s="13" t="s">
        <v>21</v>
      </c>
      <c r="K15" s="15">
        <v>0</v>
      </c>
      <c r="L15" s="19">
        <v>0</v>
      </c>
      <c r="M15" s="15">
        <v>5</v>
      </c>
    </row>
    <row r="16" spans="1:13" x14ac:dyDescent="0.3">
      <c r="A16" s="1" t="s">
        <v>49</v>
      </c>
      <c r="B16" s="1" t="s">
        <v>50</v>
      </c>
      <c r="C16" s="1" t="s">
        <v>15</v>
      </c>
      <c r="D16" s="2">
        <v>45362</v>
      </c>
      <c r="E16" s="13" t="s">
        <v>21</v>
      </c>
      <c r="F16" s="15">
        <v>15</v>
      </c>
      <c r="G16" s="1" t="s">
        <v>17</v>
      </c>
      <c r="H16" s="13" t="s">
        <v>16</v>
      </c>
      <c r="I16" s="15">
        <v>30</v>
      </c>
      <c r="J16" s="13" t="s">
        <v>16</v>
      </c>
      <c r="K16" s="15">
        <v>20</v>
      </c>
      <c r="L16">
        <v>8</v>
      </c>
      <c r="M16" s="15">
        <v>57</v>
      </c>
    </row>
    <row r="17" spans="1:13" x14ac:dyDescent="0.3">
      <c r="A17" s="1" t="s">
        <v>51</v>
      </c>
      <c r="B17" s="1" t="s">
        <v>52</v>
      </c>
      <c r="C17" s="1" t="s">
        <v>25</v>
      </c>
      <c r="D17" s="2">
        <v>45363</v>
      </c>
      <c r="E17" s="13" t="s">
        <v>16</v>
      </c>
      <c r="F17" s="15">
        <v>10</v>
      </c>
      <c r="G17" s="1" t="s">
        <v>22</v>
      </c>
      <c r="H17" s="13" t="s">
        <v>21</v>
      </c>
      <c r="I17" s="15">
        <v>0</v>
      </c>
      <c r="J17" s="13" t="s">
        <v>16</v>
      </c>
      <c r="K17" s="15">
        <v>20</v>
      </c>
      <c r="L17">
        <v>12</v>
      </c>
      <c r="M17" s="15">
        <v>18</v>
      </c>
    </row>
    <row r="18" spans="1:13" x14ac:dyDescent="0.3">
      <c r="A18" s="1" t="s">
        <v>53</v>
      </c>
      <c r="B18" s="1" t="s">
        <v>54</v>
      </c>
      <c r="C18" s="1" t="s">
        <v>20</v>
      </c>
      <c r="D18" s="2">
        <v>45364</v>
      </c>
      <c r="E18" s="13" t="s">
        <v>21</v>
      </c>
      <c r="F18" s="15">
        <v>5</v>
      </c>
      <c r="G18" s="1" t="s">
        <v>17</v>
      </c>
      <c r="H18" s="13" t="s">
        <v>21</v>
      </c>
      <c r="I18" s="15">
        <v>0</v>
      </c>
      <c r="J18" s="13" t="s">
        <v>21</v>
      </c>
      <c r="K18" s="15">
        <v>0</v>
      </c>
      <c r="L18" s="19">
        <v>2</v>
      </c>
      <c r="M18" s="15">
        <v>3</v>
      </c>
    </row>
    <row r="19" spans="1:13" x14ac:dyDescent="0.3">
      <c r="A19" s="1" t="s">
        <v>55</v>
      </c>
      <c r="B19" s="1" t="s">
        <v>56</v>
      </c>
      <c r="C19" s="1" t="s">
        <v>15</v>
      </c>
      <c r="D19" s="2">
        <v>45365</v>
      </c>
      <c r="E19" s="13" t="s">
        <v>16</v>
      </c>
      <c r="F19" s="15">
        <v>15</v>
      </c>
      <c r="G19" s="1" t="s">
        <v>26</v>
      </c>
      <c r="H19" s="13" t="s">
        <v>16</v>
      </c>
      <c r="I19" s="15">
        <v>30</v>
      </c>
      <c r="J19" s="13" t="s">
        <v>16</v>
      </c>
      <c r="K19" s="15">
        <v>20</v>
      </c>
      <c r="L19">
        <v>7</v>
      </c>
      <c r="M19" s="15">
        <v>58</v>
      </c>
    </row>
    <row r="20" spans="1:13" x14ac:dyDescent="0.3">
      <c r="A20" s="1" t="s">
        <v>57</v>
      </c>
      <c r="B20" s="1" t="s">
        <v>58</v>
      </c>
      <c r="C20" s="1" t="s">
        <v>25</v>
      </c>
      <c r="D20" s="2">
        <v>45366</v>
      </c>
      <c r="E20" s="13" t="s">
        <v>21</v>
      </c>
      <c r="F20" s="15">
        <v>10</v>
      </c>
      <c r="G20" s="1" t="s">
        <v>17</v>
      </c>
      <c r="H20" s="13" t="s">
        <v>21</v>
      </c>
      <c r="I20" s="15">
        <v>0</v>
      </c>
      <c r="J20" s="13" t="s">
        <v>16</v>
      </c>
      <c r="K20" s="15">
        <v>20</v>
      </c>
      <c r="L20">
        <v>5</v>
      </c>
      <c r="M20" s="15">
        <v>25</v>
      </c>
    </row>
    <row r="21" spans="1:13" x14ac:dyDescent="0.3">
      <c r="A21" s="1" t="s">
        <v>59</v>
      </c>
      <c r="B21" s="1" t="s">
        <v>60</v>
      </c>
      <c r="C21" s="1" t="s">
        <v>20</v>
      </c>
      <c r="D21" s="2">
        <v>45367</v>
      </c>
      <c r="E21" s="13" t="s">
        <v>16</v>
      </c>
      <c r="F21" s="15">
        <v>5</v>
      </c>
      <c r="G21" s="1" t="s">
        <v>22</v>
      </c>
      <c r="H21" s="13" t="s">
        <v>21</v>
      </c>
      <c r="I21" s="15">
        <v>0</v>
      </c>
      <c r="J21" s="13" t="s">
        <v>21</v>
      </c>
      <c r="K21" s="15">
        <v>0</v>
      </c>
      <c r="L21" s="19">
        <v>0</v>
      </c>
      <c r="M21" s="15">
        <v>5</v>
      </c>
    </row>
    <row r="22" spans="1:13" x14ac:dyDescent="0.3">
      <c r="A22" s="1" t="s">
        <v>61</v>
      </c>
      <c r="B22" s="1" t="s">
        <v>62</v>
      </c>
      <c r="C22" s="1" t="s">
        <v>15</v>
      </c>
      <c r="D22" s="2">
        <v>45368</v>
      </c>
      <c r="E22" s="13" t="s">
        <v>21</v>
      </c>
      <c r="F22" s="15">
        <v>15</v>
      </c>
      <c r="G22" s="1" t="s">
        <v>17</v>
      </c>
      <c r="H22" s="13" t="s">
        <v>16</v>
      </c>
      <c r="I22" s="15">
        <v>30</v>
      </c>
      <c r="J22" s="13" t="s">
        <v>16</v>
      </c>
      <c r="K22" s="15">
        <v>20</v>
      </c>
      <c r="L22">
        <v>3</v>
      </c>
      <c r="M22" s="15">
        <v>62</v>
      </c>
    </row>
    <row r="23" spans="1:13" x14ac:dyDescent="0.3">
      <c r="A23" s="1" t="s">
        <v>63</v>
      </c>
      <c r="B23" s="1" t="s">
        <v>64</v>
      </c>
      <c r="C23" s="1" t="s">
        <v>25</v>
      </c>
      <c r="D23" s="2">
        <v>45369</v>
      </c>
      <c r="E23" s="13" t="s">
        <v>16</v>
      </c>
      <c r="F23" s="15">
        <v>10</v>
      </c>
      <c r="G23" s="1" t="s">
        <v>26</v>
      </c>
      <c r="H23" s="13" t="s">
        <v>21</v>
      </c>
      <c r="I23" s="15">
        <v>0</v>
      </c>
      <c r="J23" s="13" t="s">
        <v>16</v>
      </c>
      <c r="K23" s="15">
        <v>20</v>
      </c>
      <c r="L23">
        <v>15</v>
      </c>
      <c r="M23" s="15">
        <v>15</v>
      </c>
    </row>
    <row r="24" spans="1:13" x14ac:dyDescent="0.3">
      <c r="A24" s="1" t="s">
        <v>65</v>
      </c>
      <c r="B24" s="1" t="s">
        <v>66</v>
      </c>
      <c r="C24" s="1" t="s">
        <v>20</v>
      </c>
      <c r="D24" s="2">
        <v>45370</v>
      </c>
      <c r="E24" s="13" t="s">
        <v>21</v>
      </c>
      <c r="F24" s="15">
        <v>5</v>
      </c>
      <c r="G24" s="1" t="s">
        <v>17</v>
      </c>
      <c r="H24" s="13" t="s">
        <v>21</v>
      </c>
      <c r="I24" s="15">
        <v>0</v>
      </c>
      <c r="J24" s="13" t="s">
        <v>21</v>
      </c>
      <c r="K24" s="15">
        <v>0</v>
      </c>
      <c r="L24" s="19">
        <v>1</v>
      </c>
      <c r="M24" s="15">
        <v>4</v>
      </c>
    </row>
    <row r="25" spans="1:13" x14ac:dyDescent="0.3">
      <c r="A25" s="1" t="s">
        <v>67</v>
      </c>
      <c r="B25" s="1" t="s">
        <v>68</v>
      </c>
      <c r="C25" s="1" t="s">
        <v>15</v>
      </c>
      <c r="D25" s="2">
        <v>45371</v>
      </c>
      <c r="E25" s="13" t="s">
        <v>16</v>
      </c>
      <c r="F25" s="15">
        <v>15</v>
      </c>
      <c r="G25" s="1" t="s">
        <v>22</v>
      </c>
      <c r="H25" s="13" t="s">
        <v>16</v>
      </c>
      <c r="I25" s="15">
        <v>30</v>
      </c>
      <c r="J25" s="13" t="s">
        <v>16</v>
      </c>
      <c r="K25" s="15">
        <v>20</v>
      </c>
      <c r="L25">
        <v>20</v>
      </c>
      <c r="M25" s="15">
        <v>45</v>
      </c>
    </row>
    <row r="26" spans="1:13" x14ac:dyDescent="0.3">
      <c r="A26" s="1" t="s">
        <v>69</v>
      </c>
      <c r="B26" s="1" t="s">
        <v>70</v>
      </c>
      <c r="C26" s="1" t="s">
        <v>25</v>
      </c>
      <c r="D26" s="2">
        <v>45372</v>
      </c>
      <c r="E26" s="13" t="s">
        <v>21</v>
      </c>
      <c r="F26" s="15">
        <v>10</v>
      </c>
      <c r="G26" s="1" t="s">
        <v>17</v>
      </c>
      <c r="H26" s="13" t="s">
        <v>21</v>
      </c>
      <c r="I26" s="15">
        <v>0</v>
      </c>
      <c r="J26" s="13" t="s">
        <v>16</v>
      </c>
      <c r="K26" s="15">
        <v>20</v>
      </c>
      <c r="L26">
        <v>10</v>
      </c>
      <c r="M26" s="15">
        <v>20</v>
      </c>
    </row>
    <row r="27" spans="1:13" x14ac:dyDescent="0.3">
      <c r="A27" s="1" t="s">
        <v>71</v>
      </c>
      <c r="B27" s="1" t="s">
        <v>72</v>
      </c>
      <c r="C27" s="1" t="s">
        <v>20</v>
      </c>
      <c r="D27" s="2">
        <v>45373</v>
      </c>
      <c r="E27" s="13" t="s">
        <v>16</v>
      </c>
      <c r="F27" s="15">
        <v>5</v>
      </c>
      <c r="G27" s="1" t="s">
        <v>26</v>
      </c>
      <c r="H27" s="13" t="s">
        <v>21</v>
      </c>
      <c r="I27" s="15">
        <v>0</v>
      </c>
      <c r="J27" s="13" t="s">
        <v>21</v>
      </c>
      <c r="K27" s="15">
        <v>0</v>
      </c>
      <c r="L27" s="19">
        <v>0</v>
      </c>
      <c r="M27" s="15">
        <v>5</v>
      </c>
    </row>
    <row r="28" spans="1:13" x14ac:dyDescent="0.3">
      <c r="A28" s="1" t="s">
        <v>73</v>
      </c>
      <c r="B28" s="1" t="s">
        <v>74</v>
      </c>
      <c r="C28" s="1" t="s">
        <v>15</v>
      </c>
      <c r="D28" s="2">
        <v>45374</v>
      </c>
      <c r="E28" s="13" t="s">
        <v>21</v>
      </c>
      <c r="F28" s="15">
        <v>15</v>
      </c>
      <c r="G28" s="1" t="s">
        <v>17</v>
      </c>
      <c r="H28" s="13" t="s">
        <v>16</v>
      </c>
      <c r="I28" s="15">
        <v>30</v>
      </c>
      <c r="J28" s="13" t="s">
        <v>16</v>
      </c>
      <c r="K28" s="15">
        <v>20</v>
      </c>
      <c r="L28">
        <v>5</v>
      </c>
      <c r="M28" s="15">
        <v>60</v>
      </c>
    </row>
    <row r="29" spans="1:13" x14ac:dyDescent="0.3">
      <c r="A29" s="1" t="s">
        <v>75</v>
      </c>
      <c r="B29" s="1" t="s">
        <v>76</v>
      </c>
      <c r="C29" s="1" t="s">
        <v>25</v>
      </c>
      <c r="D29" s="2">
        <v>45375</v>
      </c>
      <c r="E29" s="13" t="s">
        <v>16</v>
      </c>
      <c r="F29" s="15">
        <v>10</v>
      </c>
      <c r="G29" s="1" t="s">
        <v>22</v>
      </c>
      <c r="H29" s="13" t="s">
        <v>21</v>
      </c>
      <c r="I29" s="15">
        <v>0</v>
      </c>
      <c r="J29" s="13" t="s">
        <v>16</v>
      </c>
      <c r="K29" s="15">
        <v>20</v>
      </c>
      <c r="L29">
        <v>15</v>
      </c>
      <c r="M29" s="15">
        <v>15</v>
      </c>
    </row>
    <row r="30" spans="1:13" x14ac:dyDescent="0.3">
      <c r="A30" s="1" t="s">
        <v>77</v>
      </c>
      <c r="B30" s="1" t="s">
        <v>78</v>
      </c>
      <c r="C30" s="1" t="s">
        <v>20</v>
      </c>
      <c r="D30" s="2">
        <v>45376</v>
      </c>
      <c r="E30" s="13" t="s">
        <v>21</v>
      </c>
      <c r="F30" s="15">
        <v>5</v>
      </c>
      <c r="G30" s="1" t="s">
        <v>17</v>
      </c>
      <c r="H30" s="13" t="s">
        <v>21</v>
      </c>
      <c r="I30" s="15">
        <v>0</v>
      </c>
      <c r="J30" s="13" t="s">
        <v>21</v>
      </c>
      <c r="K30" s="15">
        <v>0</v>
      </c>
      <c r="L30" s="19">
        <v>1</v>
      </c>
      <c r="M30" s="15">
        <v>4</v>
      </c>
    </row>
    <row r="31" spans="1:13" x14ac:dyDescent="0.3">
      <c r="A31" s="1" t="s">
        <v>79</v>
      </c>
      <c r="B31" s="1" t="s">
        <v>80</v>
      </c>
      <c r="C31" s="1" t="s">
        <v>15</v>
      </c>
      <c r="D31" s="2">
        <v>45377</v>
      </c>
      <c r="E31" s="13" t="s">
        <v>16</v>
      </c>
      <c r="F31" s="15">
        <v>15</v>
      </c>
      <c r="G31" s="1" t="s">
        <v>26</v>
      </c>
      <c r="H31" s="13" t="s">
        <v>16</v>
      </c>
      <c r="I31" s="15">
        <v>30</v>
      </c>
      <c r="J31" s="13" t="s">
        <v>16</v>
      </c>
      <c r="K31" s="15">
        <v>20</v>
      </c>
      <c r="L31">
        <v>7</v>
      </c>
      <c r="M31" s="15">
        <v>58</v>
      </c>
    </row>
    <row r="32" spans="1:13" x14ac:dyDescent="0.3">
      <c r="A32" s="1" t="s">
        <v>81</v>
      </c>
      <c r="B32" s="1" t="s">
        <v>82</v>
      </c>
      <c r="C32" s="1" t="s">
        <v>25</v>
      </c>
      <c r="D32" s="2">
        <v>45378</v>
      </c>
      <c r="E32" s="13" t="s">
        <v>21</v>
      </c>
      <c r="F32" s="15">
        <v>10</v>
      </c>
      <c r="G32" s="1" t="s">
        <v>17</v>
      </c>
      <c r="H32" s="13" t="s">
        <v>21</v>
      </c>
      <c r="I32" s="15">
        <v>0</v>
      </c>
      <c r="J32" s="13" t="s">
        <v>16</v>
      </c>
      <c r="K32" s="15">
        <v>20</v>
      </c>
      <c r="L32">
        <v>10</v>
      </c>
      <c r="M32" s="15">
        <v>20</v>
      </c>
    </row>
    <row r="33" spans="1:13" x14ac:dyDescent="0.3">
      <c r="A33" s="1" t="s">
        <v>83</v>
      </c>
      <c r="B33" s="1" t="s">
        <v>84</v>
      </c>
      <c r="C33" s="1" t="s">
        <v>20</v>
      </c>
      <c r="D33" s="2">
        <v>45379</v>
      </c>
      <c r="E33" s="13" t="s">
        <v>16</v>
      </c>
      <c r="F33" s="15">
        <v>5</v>
      </c>
      <c r="G33" s="1" t="s">
        <v>22</v>
      </c>
      <c r="H33" s="13" t="s">
        <v>21</v>
      </c>
      <c r="I33" s="15">
        <v>0</v>
      </c>
      <c r="J33" s="13" t="s">
        <v>21</v>
      </c>
      <c r="K33" s="15">
        <v>0</v>
      </c>
      <c r="L33" s="19">
        <v>0</v>
      </c>
      <c r="M33" s="15">
        <v>5</v>
      </c>
    </row>
    <row r="34" spans="1:13" x14ac:dyDescent="0.3">
      <c r="A34" s="1" t="s">
        <v>85</v>
      </c>
      <c r="B34" s="1" t="s">
        <v>86</v>
      </c>
      <c r="C34" s="1" t="s">
        <v>15</v>
      </c>
      <c r="D34" s="2">
        <v>45380</v>
      </c>
      <c r="E34" s="13" t="s">
        <v>21</v>
      </c>
      <c r="F34" s="15">
        <v>15</v>
      </c>
      <c r="G34" s="1" t="s">
        <v>17</v>
      </c>
      <c r="H34" s="13" t="s">
        <v>16</v>
      </c>
      <c r="I34" s="15">
        <v>30</v>
      </c>
      <c r="J34" s="13" t="s">
        <v>16</v>
      </c>
      <c r="K34" s="15">
        <v>20</v>
      </c>
      <c r="L34">
        <v>3</v>
      </c>
      <c r="M34" s="15">
        <v>62</v>
      </c>
    </row>
    <row r="35" spans="1:13" x14ac:dyDescent="0.3">
      <c r="A35" s="1" t="s">
        <v>87</v>
      </c>
      <c r="B35" s="1" t="s">
        <v>88</v>
      </c>
      <c r="C35" s="1" t="s">
        <v>25</v>
      </c>
      <c r="D35" s="2">
        <v>45381</v>
      </c>
      <c r="E35" s="13" t="s">
        <v>16</v>
      </c>
      <c r="F35" s="15">
        <v>10</v>
      </c>
      <c r="G35" s="1" t="s">
        <v>26</v>
      </c>
      <c r="H35" s="13" t="s">
        <v>21</v>
      </c>
      <c r="I35" s="15">
        <v>0</v>
      </c>
      <c r="J35" s="13" t="s">
        <v>16</v>
      </c>
      <c r="K35" s="15">
        <v>20</v>
      </c>
      <c r="L35">
        <v>15</v>
      </c>
      <c r="M35" s="15">
        <v>15</v>
      </c>
    </row>
    <row r="36" spans="1:13" x14ac:dyDescent="0.3">
      <c r="A36" s="1" t="s">
        <v>89</v>
      </c>
      <c r="B36" s="1" t="s">
        <v>90</v>
      </c>
      <c r="C36" s="1" t="s">
        <v>20</v>
      </c>
      <c r="D36" s="2">
        <v>45382</v>
      </c>
      <c r="E36" s="13" t="s">
        <v>21</v>
      </c>
      <c r="F36" s="15">
        <v>5</v>
      </c>
      <c r="G36" s="1" t="s">
        <v>17</v>
      </c>
      <c r="H36" s="13" t="s">
        <v>21</v>
      </c>
      <c r="I36" s="15">
        <v>0</v>
      </c>
      <c r="J36" s="13" t="s">
        <v>21</v>
      </c>
      <c r="K36" s="15">
        <v>0</v>
      </c>
      <c r="L36" s="19">
        <v>1</v>
      </c>
      <c r="M36" s="15">
        <v>4</v>
      </c>
    </row>
    <row r="37" spans="1:13" x14ac:dyDescent="0.3">
      <c r="A37" s="1" t="s">
        <v>91</v>
      </c>
      <c r="B37" s="1" t="s">
        <v>92</v>
      </c>
      <c r="C37" s="1" t="s">
        <v>20</v>
      </c>
      <c r="D37" s="2">
        <v>45383</v>
      </c>
      <c r="E37" s="13" t="s">
        <v>16</v>
      </c>
      <c r="F37" s="15">
        <v>5</v>
      </c>
      <c r="G37" s="1" t="s">
        <v>17</v>
      </c>
      <c r="H37" s="13" t="s">
        <v>21</v>
      </c>
      <c r="I37" s="15">
        <v>0</v>
      </c>
      <c r="J37" s="13" t="s">
        <v>21</v>
      </c>
      <c r="K37" s="15">
        <v>0</v>
      </c>
      <c r="L37" s="19">
        <v>0</v>
      </c>
      <c r="M37" s="15">
        <v>5</v>
      </c>
    </row>
    <row r="38" spans="1:13" x14ac:dyDescent="0.3">
      <c r="A38" s="1" t="s">
        <v>93</v>
      </c>
      <c r="B38" s="1" t="s">
        <v>94</v>
      </c>
      <c r="C38" s="1" t="s">
        <v>15</v>
      </c>
      <c r="D38" s="2">
        <v>45384</v>
      </c>
      <c r="E38" s="13" t="s">
        <v>21</v>
      </c>
      <c r="F38" s="15">
        <v>15</v>
      </c>
      <c r="G38" s="1" t="s">
        <v>26</v>
      </c>
      <c r="H38" s="13" t="s">
        <v>16</v>
      </c>
      <c r="I38" s="15">
        <v>30</v>
      </c>
      <c r="J38" s="13" t="s">
        <v>16</v>
      </c>
      <c r="K38" s="15">
        <v>20</v>
      </c>
      <c r="L38">
        <v>7</v>
      </c>
      <c r="M38" s="15">
        <v>58</v>
      </c>
    </row>
    <row r="39" spans="1:13" x14ac:dyDescent="0.3">
      <c r="A39" s="1" t="s">
        <v>95</v>
      </c>
      <c r="B39" s="1" t="s">
        <v>96</v>
      </c>
      <c r="C39" s="1" t="s">
        <v>25</v>
      </c>
      <c r="D39" s="2">
        <v>45385</v>
      </c>
      <c r="E39" s="13" t="s">
        <v>16</v>
      </c>
      <c r="F39" s="15">
        <v>10</v>
      </c>
      <c r="G39" s="1" t="s">
        <v>22</v>
      </c>
      <c r="H39" s="13" t="s">
        <v>21</v>
      </c>
      <c r="I39" s="15">
        <v>0</v>
      </c>
      <c r="J39" s="13" t="s">
        <v>16</v>
      </c>
      <c r="K39" s="15">
        <v>20</v>
      </c>
      <c r="L39">
        <v>10</v>
      </c>
      <c r="M39" s="15">
        <v>20</v>
      </c>
    </row>
    <row r="40" spans="1:13" x14ac:dyDescent="0.3">
      <c r="A40" s="1" t="s">
        <v>97</v>
      </c>
      <c r="B40" s="1" t="s">
        <v>98</v>
      </c>
      <c r="C40" s="1" t="s">
        <v>20</v>
      </c>
      <c r="D40" s="2">
        <v>45386</v>
      </c>
      <c r="E40" s="13" t="s">
        <v>21</v>
      </c>
      <c r="F40" s="15">
        <v>5</v>
      </c>
      <c r="G40" s="1" t="s">
        <v>26</v>
      </c>
      <c r="H40" s="13" t="s">
        <v>21</v>
      </c>
      <c r="I40" s="15">
        <v>0</v>
      </c>
      <c r="J40" s="13" t="s">
        <v>21</v>
      </c>
      <c r="K40" s="15">
        <v>0</v>
      </c>
      <c r="L40" s="19">
        <v>1</v>
      </c>
      <c r="M40" s="15">
        <v>4</v>
      </c>
    </row>
    <row r="41" spans="1:13" x14ac:dyDescent="0.3">
      <c r="A41" s="1" t="s">
        <v>99</v>
      </c>
      <c r="B41" s="1" t="s">
        <v>100</v>
      </c>
      <c r="C41" s="1" t="s">
        <v>15</v>
      </c>
      <c r="D41" s="2">
        <v>45387</v>
      </c>
      <c r="E41" s="13" t="s">
        <v>16</v>
      </c>
      <c r="F41" s="15">
        <v>15</v>
      </c>
      <c r="G41" s="1" t="s">
        <v>17</v>
      </c>
      <c r="H41" s="13" t="s">
        <v>16</v>
      </c>
      <c r="I41" s="15">
        <v>30</v>
      </c>
      <c r="J41" s="13" t="s">
        <v>16</v>
      </c>
      <c r="K41" s="15">
        <v>20</v>
      </c>
      <c r="L41">
        <v>15</v>
      </c>
      <c r="M41" s="15">
        <v>50</v>
      </c>
    </row>
    <row r="42" spans="1:13" x14ac:dyDescent="0.3">
      <c r="A42" s="1" t="s">
        <v>101</v>
      </c>
      <c r="B42" s="1" t="s">
        <v>102</v>
      </c>
      <c r="C42" s="1" t="s">
        <v>25</v>
      </c>
      <c r="D42" s="2">
        <v>45388</v>
      </c>
      <c r="E42" s="13" t="s">
        <v>21</v>
      </c>
      <c r="F42" s="15">
        <v>10</v>
      </c>
      <c r="G42" s="1" t="s">
        <v>17</v>
      </c>
      <c r="H42" s="13" t="s">
        <v>21</v>
      </c>
      <c r="I42" s="15">
        <v>0</v>
      </c>
      <c r="J42" s="13" t="s">
        <v>16</v>
      </c>
      <c r="K42" s="15">
        <v>20</v>
      </c>
      <c r="L42">
        <v>5</v>
      </c>
      <c r="M42" s="15">
        <v>25</v>
      </c>
    </row>
    <row r="43" spans="1:13" x14ac:dyDescent="0.3">
      <c r="A43" s="1" t="s">
        <v>103</v>
      </c>
      <c r="B43" s="1" t="s">
        <v>104</v>
      </c>
      <c r="C43" s="1" t="s">
        <v>20</v>
      </c>
      <c r="D43" s="2">
        <v>45389</v>
      </c>
      <c r="E43" s="13" t="s">
        <v>16</v>
      </c>
      <c r="F43" s="15">
        <v>5</v>
      </c>
      <c r="G43" s="1" t="s">
        <v>22</v>
      </c>
      <c r="H43" s="13" t="s">
        <v>21</v>
      </c>
      <c r="I43" s="15">
        <v>0</v>
      </c>
      <c r="J43" s="13" t="s">
        <v>21</v>
      </c>
      <c r="K43" s="15">
        <v>0</v>
      </c>
      <c r="L43" s="19">
        <v>0</v>
      </c>
      <c r="M43" s="15">
        <v>5</v>
      </c>
    </row>
    <row r="44" spans="1:13" x14ac:dyDescent="0.3">
      <c r="A44" s="1" t="s">
        <v>105</v>
      </c>
      <c r="B44" s="1" t="s">
        <v>106</v>
      </c>
      <c r="C44" s="1" t="s">
        <v>15</v>
      </c>
      <c r="D44" s="2">
        <v>45390</v>
      </c>
      <c r="E44" s="13" t="s">
        <v>21</v>
      </c>
      <c r="F44" s="15">
        <v>15</v>
      </c>
      <c r="G44" s="1" t="s">
        <v>26</v>
      </c>
      <c r="H44" s="13" t="s">
        <v>16</v>
      </c>
      <c r="I44" s="15">
        <v>30</v>
      </c>
      <c r="J44" s="13" t="s">
        <v>16</v>
      </c>
      <c r="K44" s="15">
        <v>20</v>
      </c>
      <c r="L44">
        <v>20</v>
      </c>
      <c r="M44" s="15">
        <v>45</v>
      </c>
    </row>
    <row r="45" spans="1:13" x14ac:dyDescent="0.3">
      <c r="A45" s="1" t="s">
        <v>107</v>
      </c>
      <c r="B45" s="1" t="s">
        <v>108</v>
      </c>
      <c r="C45" s="1" t="s">
        <v>25</v>
      </c>
      <c r="D45" s="2">
        <v>45391</v>
      </c>
      <c r="E45" s="13" t="s">
        <v>16</v>
      </c>
      <c r="F45" s="15">
        <v>10</v>
      </c>
      <c r="G45" s="1" t="s">
        <v>26</v>
      </c>
      <c r="H45" s="13" t="s">
        <v>21</v>
      </c>
      <c r="I45" s="15">
        <v>0</v>
      </c>
      <c r="J45" s="13" t="s">
        <v>16</v>
      </c>
      <c r="K45" s="15">
        <v>20</v>
      </c>
      <c r="L45">
        <v>12</v>
      </c>
      <c r="M45" s="15">
        <v>18</v>
      </c>
    </row>
    <row r="46" spans="1:13" x14ac:dyDescent="0.3">
      <c r="A46" s="1" t="s">
        <v>109</v>
      </c>
      <c r="B46" s="1" t="s">
        <v>110</v>
      </c>
      <c r="C46" s="1" t="s">
        <v>20</v>
      </c>
      <c r="D46" s="2">
        <v>45392</v>
      </c>
      <c r="E46" s="13" t="s">
        <v>21</v>
      </c>
      <c r="F46" s="15">
        <v>5</v>
      </c>
      <c r="G46" s="1" t="s">
        <v>17</v>
      </c>
      <c r="H46" s="13" t="s">
        <v>21</v>
      </c>
      <c r="I46" s="15">
        <v>0</v>
      </c>
      <c r="J46" s="13" t="s">
        <v>21</v>
      </c>
      <c r="K46" s="15">
        <v>0</v>
      </c>
      <c r="L46" s="19">
        <v>2</v>
      </c>
      <c r="M46" s="15">
        <v>3</v>
      </c>
    </row>
    <row r="47" spans="1:13" x14ac:dyDescent="0.3">
      <c r="A47" s="1" t="s">
        <v>111</v>
      </c>
      <c r="B47" s="1" t="s">
        <v>112</v>
      </c>
      <c r="C47" s="1" t="s">
        <v>15</v>
      </c>
      <c r="D47" s="2">
        <v>45393</v>
      </c>
      <c r="E47" s="13" t="s">
        <v>16</v>
      </c>
      <c r="F47" s="15">
        <v>15</v>
      </c>
      <c r="G47" s="1" t="s">
        <v>22</v>
      </c>
      <c r="H47" s="13" t="s">
        <v>16</v>
      </c>
      <c r="I47" s="15">
        <v>30</v>
      </c>
      <c r="J47" s="13" t="s">
        <v>16</v>
      </c>
      <c r="K47" s="15">
        <v>20</v>
      </c>
      <c r="L47">
        <v>5</v>
      </c>
      <c r="M47" s="15">
        <v>60</v>
      </c>
    </row>
    <row r="48" spans="1:13" x14ac:dyDescent="0.3">
      <c r="A48" s="1" t="s">
        <v>113</v>
      </c>
      <c r="B48" s="1" t="s">
        <v>114</v>
      </c>
      <c r="C48" s="1" t="s">
        <v>25</v>
      </c>
      <c r="D48" s="2">
        <v>45394</v>
      </c>
      <c r="E48" s="13" t="s">
        <v>21</v>
      </c>
      <c r="F48" s="15">
        <v>10</v>
      </c>
      <c r="G48" s="1" t="s">
        <v>17</v>
      </c>
      <c r="H48" s="13" t="s">
        <v>21</v>
      </c>
      <c r="I48" s="15">
        <v>0</v>
      </c>
      <c r="J48" s="13" t="s">
        <v>16</v>
      </c>
      <c r="K48" s="15">
        <v>20</v>
      </c>
      <c r="L48">
        <v>10</v>
      </c>
      <c r="M48" s="15">
        <v>20</v>
      </c>
    </row>
    <row r="49" spans="1:13" x14ac:dyDescent="0.3">
      <c r="A49" s="1" t="s">
        <v>115</v>
      </c>
      <c r="B49" s="1" t="s">
        <v>116</v>
      </c>
      <c r="C49" s="1" t="s">
        <v>20</v>
      </c>
      <c r="D49" s="2">
        <v>45395</v>
      </c>
      <c r="E49" s="13" t="s">
        <v>16</v>
      </c>
      <c r="F49" s="15">
        <v>5</v>
      </c>
      <c r="G49" s="1" t="s">
        <v>26</v>
      </c>
      <c r="H49" s="13" t="s">
        <v>21</v>
      </c>
      <c r="I49" s="15">
        <v>0</v>
      </c>
      <c r="J49" s="13" t="s">
        <v>21</v>
      </c>
      <c r="K49" s="15">
        <v>0</v>
      </c>
      <c r="L49" s="19">
        <v>0</v>
      </c>
      <c r="M49" s="15">
        <v>5</v>
      </c>
    </row>
    <row r="50" spans="1:13" x14ac:dyDescent="0.3">
      <c r="A50" s="1" t="s">
        <v>117</v>
      </c>
      <c r="B50" s="1" t="s">
        <v>118</v>
      </c>
      <c r="C50" s="1" t="s">
        <v>15</v>
      </c>
      <c r="D50" s="2">
        <v>45396</v>
      </c>
      <c r="E50" s="13" t="s">
        <v>21</v>
      </c>
      <c r="F50" s="15">
        <v>15</v>
      </c>
      <c r="G50" s="1" t="s">
        <v>17</v>
      </c>
      <c r="H50" s="13" t="s">
        <v>16</v>
      </c>
      <c r="I50" s="15">
        <v>30</v>
      </c>
      <c r="J50" s="13" t="s">
        <v>16</v>
      </c>
      <c r="K50" s="15">
        <v>20</v>
      </c>
      <c r="L50">
        <v>3</v>
      </c>
      <c r="M50" s="15">
        <v>62</v>
      </c>
    </row>
    <row r="51" spans="1:13" x14ac:dyDescent="0.3">
      <c r="A51" s="1" t="s">
        <v>119</v>
      </c>
      <c r="B51" s="1" t="s">
        <v>120</v>
      </c>
      <c r="C51" s="1" t="s">
        <v>25</v>
      </c>
      <c r="D51" s="2">
        <v>45397</v>
      </c>
      <c r="E51" s="13" t="s">
        <v>16</v>
      </c>
      <c r="F51" s="15">
        <v>10</v>
      </c>
      <c r="G51" s="1" t="s">
        <v>22</v>
      </c>
      <c r="H51" s="13" t="s">
        <v>21</v>
      </c>
      <c r="I51" s="15">
        <v>0</v>
      </c>
      <c r="J51" s="13" t="s">
        <v>16</v>
      </c>
      <c r="K51" s="15">
        <v>20</v>
      </c>
      <c r="L51">
        <v>15</v>
      </c>
      <c r="M51" s="15">
        <v>15</v>
      </c>
    </row>
    <row r="52" spans="1:13" x14ac:dyDescent="0.3">
      <c r="A52" s="1" t="s">
        <v>121</v>
      </c>
      <c r="B52" s="1" t="s">
        <v>122</v>
      </c>
      <c r="C52" s="1" t="s">
        <v>20</v>
      </c>
      <c r="D52" s="2">
        <v>45398</v>
      </c>
      <c r="E52" s="13" t="s">
        <v>21</v>
      </c>
      <c r="F52" s="15">
        <v>5</v>
      </c>
      <c r="G52" s="1" t="s">
        <v>17</v>
      </c>
      <c r="H52" s="13" t="s">
        <v>21</v>
      </c>
      <c r="I52" s="15">
        <v>0</v>
      </c>
      <c r="J52" s="13" t="s">
        <v>21</v>
      </c>
      <c r="K52" s="15">
        <v>0</v>
      </c>
      <c r="L52" s="19">
        <v>1</v>
      </c>
      <c r="M52" s="15">
        <v>4</v>
      </c>
    </row>
    <row r="53" spans="1:13" x14ac:dyDescent="0.3">
      <c r="A53" s="1" t="s">
        <v>123</v>
      </c>
      <c r="B53" s="1" t="s">
        <v>124</v>
      </c>
      <c r="C53" s="1" t="s">
        <v>15</v>
      </c>
      <c r="D53" s="2">
        <v>45399</v>
      </c>
      <c r="E53" s="13" t="s">
        <v>16</v>
      </c>
      <c r="F53" s="15">
        <v>15</v>
      </c>
      <c r="G53" s="1" t="s">
        <v>26</v>
      </c>
      <c r="H53" s="13" t="s">
        <v>16</v>
      </c>
      <c r="I53" s="15">
        <v>30</v>
      </c>
      <c r="J53" s="13" t="s">
        <v>16</v>
      </c>
      <c r="K53" s="15">
        <v>20</v>
      </c>
      <c r="L53">
        <v>7</v>
      </c>
      <c r="M53" s="15">
        <v>58</v>
      </c>
    </row>
    <row r="54" spans="1:13" x14ac:dyDescent="0.3">
      <c r="A54" s="1" t="s">
        <v>125</v>
      </c>
      <c r="B54" s="1" t="s">
        <v>126</v>
      </c>
      <c r="C54" s="1" t="s">
        <v>25</v>
      </c>
      <c r="D54" s="2">
        <v>45400</v>
      </c>
      <c r="E54" s="13" t="s">
        <v>21</v>
      </c>
      <c r="F54" s="15">
        <v>10</v>
      </c>
      <c r="G54" s="1" t="s">
        <v>17</v>
      </c>
      <c r="H54" s="13" t="s">
        <v>21</v>
      </c>
      <c r="I54" s="15">
        <v>0</v>
      </c>
      <c r="J54" s="13" t="s">
        <v>16</v>
      </c>
      <c r="K54" s="15">
        <v>20</v>
      </c>
      <c r="L54">
        <v>10</v>
      </c>
      <c r="M54" s="15">
        <v>20</v>
      </c>
    </row>
    <row r="55" spans="1:13" x14ac:dyDescent="0.3">
      <c r="A55" s="1" t="s">
        <v>127</v>
      </c>
      <c r="B55" s="1" t="s">
        <v>128</v>
      </c>
      <c r="C55" s="1" t="s">
        <v>20</v>
      </c>
      <c r="D55" s="2">
        <v>45401</v>
      </c>
      <c r="E55" s="13" t="s">
        <v>16</v>
      </c>
      <c r="F55" s="15">
        <v>5</v>
      </c>
      <c r="G55" s="1" t="s">
        <v>22</v>
      </c>
      <c r="H55" s="13" t="s">
        <v>21</v>
      </c>
      <c r="I55" s="15">
        <v>0</v>
      </c>
      <c r="J55" s="13" t="s">
        <v>21</v>
      </c>
      <c r="K55" s="15">
        <v>0</v>
      </c>
      <c r="L55" s="19">
        <v>0</v>
      </c>
      <c r="M55" s="15">
        <v>5</v>
      </c>
    </row>
    <row r="56" spans="1:13" x14ac:dyDescent="0.3">
      <c r="A56" s="1" t="s">
        <v>129</v>
      </c>
      <c r="B56" s="1" t="s">
        <v>130</v>
      </c>
      <c r="C56" s="1" t="s">
        <v>15</v>
      </c>
      <c r="D56" s="2">
        <v>45402</v>
      </c>
      <c r="E56" s="13" t="s">
        <v>21</v>
      </c>
      <c r="F56" s="15">
        <v>15</v>
      </c>
      <c r="G56" s="1" t="s">
        <v>17</v>
      </c>
      <c r="H56" s="13" t="s">
        <v>16</v>
      </c>
      <c r="I56" s="15">
        <v>30</v>
      </c>
      <c r="J56" s="13" t="s">
        <v>16</v>
      </c>
      <c r="K56" s="15">
        <v>20</v>
      </c>
      <c r="L56">
        <v>20</v>
      </c>
      <c r="M56" s="15">
        <v>45</v>
      </c>
    </row>
    <row r="57" spans="1:13" x14ac:dyDescent="0.3">
      <c r="A57" s="1" t="s">
        <v>131</v>
      </c>
      <c r="B57" s="1" t="s">
        <v>132</v>
      </c>
      <c r="C57" s="1" t="s">
        <v>25</v>
      </c>
      <c r="D57" s="2">
        <v>45403</v>
      </c>
      <c r="E57" s="13" t="s">
        <v>16</v>
      </c>
      <c r="F57" s="15">
        <v>10</v>
      </c>
      <c r="G57" s="1" t="s">
        <v>26</v>
      </c>
      <c r="H57" s="13" t="s">
        <v>21</v>
      </c>
      <c r="I57" s="15">
        <v>0</v>
      </c>
      <c r="J57" s="13" t="s">
        <v>16</v>
      </c>
      <c r="K57" s="15">
        <v>20</v>
      </c>
      <c r="L57">
        <v>15</v>
      </c>
      <c r="M57" s="15">
        <v>15</v>
      </c>
    </row>
    <row r="58" spans="1:13" x14ac:dyDescent="0.3">
      <c r="A58" s="1" t="s">
        <v>133</v>
      </c>
      <c r="B58" s="1" t="s">
        <v>134</v>
      </c>
      <c r="C58" s="1" t="s">
        <v>20</v>
      </c>
      <c r="D58" s="2">
        <v>45404</v>
      </c>
      <c r="E58" s="13" t="s">
        <v>21</v>
      </c>
      <c r="F58" s="15">
        <v>5</v>
      </c>
      <c r="G58" s="1" t="s">
        <v>17</v>
      </c>
      <c r="H58" s="13" t="s">
        <v>21</v>
      </c>
      <c r="I58" s="15">
        <v>0</v>
      </c>
      <c r="J58" s="13" t="s">
        <v>21</v>
      </c>
      <c r="K58" s="15">
        <v>0</v>
      </c>
      <c r="L58" s="19">
        <v>1</v>
      </c>
      <c r="M58" s="15">
        <v>4</v>
      </c>
    </row>
    <row r="59" spans="1:13" x14ac:dyDescent="0.3">
      <c r="A59" s="1" t="s">
        <v>135</v>
      </c>
      <c r="B59" s="1" t="s">
        <v>136</v>
      </c>
      <c r="C59" s="1" t="s">
        <v>15</v>
      </c>
      <c r="D59" s="2">
        <v>45405</v>
      </c>
      <c r="E59" s="13" t="s">
        <v>16</v>
      </c>
      <c r="F59" s="15">
        <v>15</v>
      </c>
      <c r="G59" s="1" t="s">
        <v>22</v>
      </c>
      <c r="H59" s="13" t="s">
        <v>16</v>
      </c>
      <c r="I59" s="15">
        <v>30</v>
      </c>
      <c r="J59" s="13" t="s">
        <v>16</v>
      </c>
      <c r="K59" s="15">
        <v>20</v>
      </c>
      <c r="L59">
        <v>3</v>
      </c>
      <c r="M59" s="15">
        <v>62</v>
      </c>
    </row>
    <row r="60" spans="1:13" x14ac:dyDescent="0.3">
      <c r="A60" s="1" t="s">
        <v>137</v>
      </c>
      <c r="B60" s="1" t="s">
        <v>138</v>
      </c>
      <c r="C60" s="1" t="s">
        <v>25</v>
      </c>
      <c r="D60" s="2">
        <v>45406</v>
      </c>
      <c r="E60" s="13" t="s">
        <v>21</v>
      </c>
      <c r="F60" s="15">
        <v>10</v>
      </c>
      <c r="G60" s="1" t="s">
        <v>17</v>
      </c>
      <c r="H60" s="13" t="s">
        <v>21</v>
      </c>
      <c r="I60" s="15">
        <v>0</v>
      </c>
      <c r="J60" s="13" t="s">
        <v>16</v>
      </c>
      <c r="K60" s="15">
        <v>20</v>
      </c>
      <c r="L60">
        <v>10</v>
      </c>
      <c r="M60" s="15">
        <v>20</v>
      </c>
    </row>
    <row r="61" spans="1:13" x14ac:dyDescent="0.3">
      <c r="A61" s="1" t="s">
        <v>139</v>
      </c>
      <c r="B61" s="1" t="s">
        <v>140</v>
      </c>
      <c r="C61" s="1" t="s">
        <v>20</v>
      </c>
      <c r="D61" s="2">
        <v>45407</v>
      </c>
      <c r="E61" s="13" t="s">
        <v>16</v>
      </c>
      <c r="F61" s="15">
        <v>5</v>
      </c>
      <c r="G61" s="1" t="s">
        <v>26</v>
      </c>
      <c r="H61" s="13" t="s">
        <v>21</v>
      </c>
      <c r="I61" s="15">
        <v>0</v>
      </c>
      <c r="J61" s="13" t="s">
        <v>21</v>
      </c>
      <c r="K61" s="15">
        <v>0</v>
      </c>
      <c r="L61" s="19">
        <v>0</v>
      </c>
      <c r="M61" s="15">
        <v>5</v>
      </c>
    </row>
    <row r="62" spans="1:13" x14ac:dyDescent="0.3">
      <c r="A62" s="1" t="s">
        <v>141</v>
      </c>
      <c r="B62" s="1" t="s">
        <v>142</v>
      </c>
      <c r="C62" s="1" t="s">
        <v>15</v>
      </c>
      <c r="D62" s="2">
        <v>45408</v>
      </c>
      <c r="E62" s="13" t="s">
        <v>21</v>
      </c>
      <c r="F62" s="15">
        <v>15</v>
      </c>
      <c r="G62" s="1" t="s">
        <v>17</v>
      </c>
      <c r="H62" s="13" t="s">
        <v>16</v>
      </c>
      <c r="I62" s="15">
        <v>30</v>
      </c>
      <c r="J62" s="13" t="s">
        <v>16</v>
      </c>
      <c r="K62" s="15">
        <v>20</v>
      </c>
      <c r="L62">
        <v>5</v>
      </c>
      <c r="M62" s="15">
        <v>60</v>
      </c>
    </row>
    <row r="63" spans="1:13" x14ac:dyDescent="0.3">
      <c r="A63" s="1" t="s">
        <v>143</v>
      </c>
      <c r="B63" s="1" t="s">
        <v>144</v>
      </c>
      <c r="C63" s="1" t="s">
        <v>25</v>
      </c>
      <c r="D63" s="2">
        <v>45409</v>
      </c>
      <c r="E63" s="13" t="s">
        <v>16</v>
      </c>
      <c r="F63" s="15">
        <v>10</v>
      </c>
      <c r="G63" s="1" t="s">
        <v>22</v>
      </c>
      <c r="H63" s="13" t="s">
        <v>21</v>
      </c>
      <c r="I63" s="15">
        <v>0</v>
      </c>
      <c r="J63" s="13" t="s">
        <v>16</v>
      </c>
      <c r="K63" s="15">
        <v>20</v>
      </c>
      <c r="L63">
        <v>15</v>
      </c>
      <c r="M63" s="15">
        <v>15</v>
      </c>
    </row>
    <row r="64" spans="1:13" x14ac:dyDescent="0.3">
      <c r="A64" s="1" t="s">
        <v>145</v>
      </c>
      <c r="B64" s="1" t="s">
        <v>146</v>
      </c>
      <c r="C64" s="1" t="s">
        <v>20</v>
      </c>
      <c r="D64" s="2">
        <v>45410</v>
      </c>
      <c r="E64" s="13" t="s">
        <v>21</v>
      </c>
      <c r="F64" s="15">
        <v>5</v>
      </c>
      <c r="G64" s="1" t="s">
        <v>17</v>
      </c>
      <c r="H64" s="13" t="s">
        <v>21</v>
      </c>
      <c r="I64" s="15">
        <v>0</v>
      </c>
      <c r="J64" s="13" t="s">
        <v>21</v>
      </c>
      <c r="K64" s="15">
        <v>0</v>
      </c>
      <c r="L64" s="19">
        <v>1</v>
      </c>
      <c r="M64" s="15">
        <v>4</v>
      </c>
    </row>
    <row r="65" spans="1:13" x14ac:dyDescent="0.3">
      <c r="A65" s="1" t="s">
        <v>147</v>
      </c>
      <c r="B65" s="1" t="s">
        <v>148</v>
      </c>
      <c r="C65" s="1" t="s">
        <v>15</v>
      </c>
      <c r="D65" s="2">
        <v>45411</v>
      </c>
      <c r="E65" s="13" t="s">
        <v>16</v>
      </c>
      <c r="F65" s="15">
        <v>15</v>
      </c>
      <c r="G65" s="1" t="s">
        <v>26</v>
      </c>
      <c r="H65" s="13" t="s">
        <v>16</v>
      </c>
      <c r="I65" s="15">
        <v>30</v>
      </c>
      <c r="J65" s="13" t="s">
        <v>16</v>
      </c>
      <c r="K65" s="15">
        <v>20</v>
      </c>
      <c r="L65">
        <v>20</v>
      </c>
      <c r="M65" s="15">
        <v>45</v>
      </c>
    </row>
    <row r="66" spans="1:13" x14ac:dyDescent="0.3">
      <c r="A66" s="1" t="s">
        <v>149</v>
      </c>
      <c r="B66" s="1" t="s">
        <v>150</v>
      </c>
      <c r="C66" s="1" t="s">
        <v>25</v>
      </c>
      <c r="D66" s="2">
        <v>45412</v>
      </c>
      <c r="E66" s="13" t="s">
        <v>21</v>
      </c>
      <c r="F66" s="15">
        <v>10</v>
      </c>
      <c r="G66" s="1" t="s">
        <v>17</v>
      </c>
      <c r="H66" s="13" t="s">
        <v>21</v>
      </c>
      <c r="I66" s="15">
        <v>0</v>
      </c>
      <c r="J66" s="13" t="s">
        <v>16</v>
      </c>
      <c r="K66" s="15">
        <v>20</v>
      </c>
      <c r="L66">
        <v>5</v>
      </c>
      <c r="M66" s="15">
        <v>25</v>
      </c>
    </row>
    <row r="67" spans="1:13" x14ac:dyDescent="0.3">
      <c r="A67" s="1" t="s">
        <v>151</v>
      </c>
      <c r="B67" s="1" t="s">
        <v>152</v>
      </c>
      <c r="C67" s="1" t="s">
        <v>20</v>
      </c>
      <c r="D67" s="2">
        <v>45413</v>
      </c>
      <c r="E67" s="13" t="s">
        <v>21</v>
      </c>
      <c r="F67" s="15">
        <v>5</v>
      </c>
      <c r="G67" s="1" t="s">
        <v>17</v>
      </c>
      <c r="H67" s="13" t="s">
        <v>21</v>
      </c>
      <c r="I67" s="15">
        <v>0</v>
      </c>
      <c r="J67" s="13" t="s">
        <v>21</v>
      </c>
      <c r="K67" s="15">
        <v>0</v>
      </c>
      <c r="L67" s="19">
        <v>0</v>
      </c>
      <c r="M67" s="15">
        <v>5</v>
      </c>
    </row>
    <row r="68" spans="1:13" x14ac:dyDescent="0.3">
      <c r="A68" s="1" t="s">
        <v>153</v>
      </c>
      <c r="B68" s="1" t="s">
        <v>154</v>
      </c>
      <c r="C68" s="1" t="s">
        <v>15</v>
      </c>
      <c r="D68" s="2">
        <v>45414</v>
      </c>
      <c r="E68" s="13" t="s">
        <v>16</v>
      </c>
      <c r="F68" s="15">
        <v>15</v>
      </c>
      <c r="G68" s="1" t="s">
        <v>26</v>
      </c>
      <c r="H68" s="13" t="s">
        <v>16</v>
      </c>
      <c r="I68" s="15">
        <v>30</v>
      </c>
      <c r="J68" s="13" t="s">
        <v>16</v>
      </c>
      <c r="K68" s="15">
        <v>20</v>
      </c>
      <c r="L68">
        <v>7</v>
      </c>
      <c r="M68" s="15">
        <v>58</v>
      </c>
    </row>
    <row r="69" spans="1:13" x14ac:dyDescent="0.3">
      <c r="A69" s="1" t="s">
        <v>155</v>
      </c>
      <c r="B69" s="1" t="s">
        <v>156</v>
      </c>
      <c r="C69" s="1" t="s">
        <v>25</v>
      </c>
      <c r="D69" s="2">
        <v>45415</v>
      </c>
      <c r="E69" s="13" t="s">
        <v>21</v>
      </c>
      <c r="F69" s="15">
        <v>10</v>
      </c>
      <c r="G69" s="1" t="s">
        <v>22</v>
      </c>
      <c r="H69" s="13" t="s">
        <v>21</v>
      </c>
      <c r="I69" s="15">
        <v>0</v>
      </c>
      <c r="J69" s="13" t="s">
        <v>16</v>
      </c>
      <c r="K69" s="15">
        <v>20</v>
      </c>
      <c r="L69">
        <v>10</v>
      </c>
      <c r="M69" s="15">
        <v>20</v>
      </c>
    </row>
    <row r="70" spans="1:13" x14ac:dyDescent="0.3">
      <c r="A70" s="1" t="s">
        <v>157</v>
      </c>
      <c r="B70" s="1" t="s">
        <v>158</v>
      </c>
      <c r="C70" s="1" t="s">
        <v>20</v>
      </c>
      <c r="D70" s="2">
        <v>45416</v>
      </c>
      <c r="E70" s="13" t="s">
        <v>16</v>
      </c>
      <c r="F70" s="15">
        <v>5</v>
      </c>
      <c r="G70" s="1" t="s">
        <v>26</v>
      </c>
      <c r="H70" s="13" t="s">
        <v>21</v>
      </c>
      <c r="I70" s="15">
        <v>0</v>
      </c>
      <c r="J70" s="13" t="s">
        <v>21</v>
      </c>
      <c r="K70" s="15">
        <v>0</v>
      </c>
      <c r="L70" s="19">
        <v>1</v>
      </c>
      <c r="M70" s="15">
        <v>4</v>
      </c>
    </row>
    <row r="71" spans="1:13" x14ac:dyDescent="0.3">
      <c r="A71" s="1" t="s">
        <v>159</v>
      </c>
      <c r="B71" s="1" t="s">
        <v>160</v>
      </c>
      <c r="C71" s="1" t="s">
        <v>15</v>
      </c>
      <c r="D71" s="2">
        <v>45417</v>
      </c>
      <c r="E71" s="13" t="s">
        <v>21</v>
      </c>
      <c r="F71" s="15">
        <v>15</v>
      </c>
      <c r="G71" s="1" t="s">
        <v>17</v>
      </c>
      <c r="H71" s="13" t="s">
        <v>16</v>
      </c>
      <c r="I71" s="15">
        <v>30</v>
      </c>
      <c r="J71" s="13" t="s">
        <v>16</v>
      </c>
      <c r="K71" s="15">
        <v>20</v>
      </c>
      <c r="L71">
        <v>15</v>
      </c>
      <c r="M71" s="15">
        <v>50</v>
      </c>
    </row>
    <row r="72" spans="1:13" x14ac:dyDescent="0.3">
      <c r="A72" s="1" t="s">
        <v>161</v>
      </c>
      <c r="B72" s="1" t="s">
        <v>162</v>
      </c>
      <c r="C72" s="1" t="s">
        <v>25</v>
      </c>
      <c r="D72" s="2">
        <v>45418</v>
      </c>
      <c r="E72" s="13" t="s">
        <v>16</v>
      </c>
      <c r="F72" s="15">
        <v>10</v>
      </c>
      <c r="G72" s="1" t="s">
        <v>17</v>
      </c>
      <c r="H72" s="13" t="s">
        <v>21</v>
      </c>
      <c r="I72" s="15">
        <v>0</v>
      </c>
      <c r="J72" s="13" t="s">
        <v>16</v>
      </c>
      <c r="K72" s="15">
        <v>20</v>
      </c>
      <c r="L72">
        <v>5</v>
      </c>
      <c r="M72" s="15">
        <v>25</v>
      </c>
    </row>
    <row r="73" spans="1:13" x14ac:dyDescent="0.3">
      <c r="A73" s="1" t="s">
        <v>163</v>
      </c>
      <c r="B73" s="1" t="s">
        <v>164</v>
      </c>
      <c r="C73" s="1" t="s">
        <v>20</v>
      </c>
      <c r="D73" s="2">
        <v>45419</v>
      </c>
      <c r="E73" s="13" t="s">
        <v>21</v>
      </c>
      <c r="F73" s="15">
        <v>5</v>
      </c>
      <c r="G73" s="1" t="s">
        <v>22</v>
      </c>
      <c r="H73" s="13" t="s">
        <v>21</v>
      </c>
      <c r="I73" s="15">
        <v>0</v>
      </c>
      <c r="J73" s="13" t="s">
        <v>21</v>
      </c>
      <c r="K73" s="15">
        <v>0</v>
      </c>
      <c r="L73" s="19">
        <v>0</v>
      </c>
      <c r="M73" s="15">
        <v>5</v>
      </c>
    </row>
    <row r="74" spans="1:13" x14ac:dyDescent="0.3">
      <c r="A74" s="1" t="s">
        <v>165</v>
      </c>
      <c r="B74" s="1" t="s">
        <v>166</v>
      </c>
      <c r="C74" s="1" t="s">
        <v>15</v>
      </c>
      <c r="D74" s="2">
        <v>45420</v>
      </c>
      <c r="E74" s="13" t="s">
        <v>16</v>
      </c>
      <c r="F74" s="15">
        <v>15</v>
      </c>
      <c r="G74" s="1" t="s">
        <v>26</v>
      </c>
      <c r="H74" s="13" t="s">
        <v>16</v>
      </c>
      <c r="I74" s="15">
        <v>30</v>
      </c>
      <c r="J74" s="13" t="s">
        <v>16</v>
      </c>
      <c r="K74" s="15">
        <v>20</v>
      </c>
      <c r="L74">
        <v>20</v>
      </c>
      <c r="M74" s="15">
        <v>45</v>
      </c>
    </row>
    <row r="75" spans="1:13" x14ac:dyDescent="0.3">
      <c r="A75" s="1" t="s">
        <v>167</v>
      </c>
      <c r="B75" s="1" t="s">
        <v>168</v>
      </c>
      <c r="C75" s="1" t="s">
        <v>25</v>
      </c>
      <c r="D75" s="2">
        <v>45421</v>
      </c>
      <c r="E75" s="13" t="s">
        <v>21</v>
      </c>
      <c r="F75" s="15">
        <v>10</v>
      </c>
      <c r="G75" s="1" t="s">
        <v>26</v>
      </c>
      <c r="H75" s="13" t="s">
        <v>21</v>
      </c>
      <c r="I75" s="15">
        <v>0</v>
      </c>
      <c r="J75" s="13" t="s">
        <v>16</v>
      </c>
      <c r="K75" s="15">
        <v>20</v>
      </c>
      <c r="L75">
        <v>12</v>
      </c>
      <c r="M75" s="15">
        <v>18</v>
      </c>
    </row>
    <row r="76" spans="1:13" x14ac:dyDescent="0.3">
      <c r="A76" s="1" t="s">
        <v>169</v>
      </c>
      <c r="B76" s="1" t="s">
        <v>170</v>
      </c>
      <c r="C76" s="1" t="s">
        <v>20</v>
      </c>
      <c r="D76" s="2">
        <v>45422</v>
      </c>
      <c r="E76" s="13" t="s">
        <v>16</v>
      </c>
      <c r="F76" s="15">
        <v>5</v>
      </c>
      <c r="G76" s="1" t="s">
        <v>17</v>
      </c>
      <c r="H76" s="13" t="s">
        <v>21</v>
      </c>
      <c r="I76" s="15">
        <v>0</v>
      </c>
      <c r="J76" s="13" t="s">
        <v>21</v>
      </c>
      <c r="K76" s="15">
        <v>0</v>
      </c>
      <c r="L76" s="19">
        <v>2</v>
      </c>
      <c r="M76" s="15">
        <v>3</v>
      </c>
    </row>
    <row r="77" spans="1:13" x14ac:dyDescent="0.3">
      <c r="A77" s="1" t="s">
        <v>171</v>
      </c>
      <c r="B77" s="1" t="s">
        <v>172</v>
      </c>
      <c r="C77" s="1" t="s">
        <v>15</v>
      </c>
      <c r="D77" s="2">
        <v>45423</v>
      </c>
      <c r="E77" s="13" t="s">
        <v>21</v>
      </c>
      <c r="F77" s="15">
        <v>15</v>
      </c>
      <c r="G77" s="1" t="s">
        <v>22</v>
      </c>
      <c r="H77" s="13" t="s">
        <v>16</v>
      </c>
      <c r="I77" s="15">
        <v>30</v>
      </c>
      <c r="J77" s="13" t="s">
        <v>16</v>
      </c>
      <c r="K77" s="15">
        <v>20</v>
      </c>
      <c r="L77">
        <v>5</v>
      </c>
      <c r="M77" s="15">
        <v>60</v>
      </c>
    </row>
    <row r="78" spans="1:13" x14ac:dyDescent="0.3">
      <c r="A78" s="1" t="s">
        <v>173</v>
      </c>
      <c r="B78" s="1" t="s">
        <v>174</v>
      </c>
      <c r="C78" s="1" t="s">
        <v>25</v>
      </c>
      <c r="D78" s="2">
        <v>45424</v>
      </c>
      <c r="E78" s="13" t="s">
        <v>16</v>
      </c>
      <c r="F78" s="15">
        <v>10</v>
      </c>
      <c r="G78" s="1" t="s">
        <v>17</v>
      </c>
      <c r="H78" s="13" t="s">
        <v>21</v>
      </c>
      <c r="I78" s="15">
        <v>0</v>
      </c>
      <c r="J78" s="13" t="s">
        <v>16</v>
      </c>
      <c r="K78" s="15">
        <v>20</v>
      </c>
      <c r="L78">
        <v>10</v>
      </c>
      <c r="M78" s="15">
        <v>20</v>
      </c>
    </row>
    <row r="79" spans="1:13" x14ac:dyDescent="0.3">
      <c r="A79" s="1" t="s">
        <v>175</v>
      </c>
      <c r="B79" s="1" t="s">
        <v>176</v>
      </c>
      <c r="C79" s="1" t="s">
        <v>20</v>
      </c>
      <c r="D79" s="2">
        <v>45425</v>
      </c>
      <c r="E79" s="13" t="s">
        <v>21</v>
      </c>
      <c r="F79" s="15">
        <v>5</v>
      </c>
      <c r="G79" s="1" t="s">
        <v>26</v>
      </c>
      <c r="H79" s="13" t="s">
        <v>21</v>
      </c>
      <c r="I79" s="15">
        <v>0</v>
      </c>
      <c r="J79" s="13" t="s">
        <v>21</v>
      </c>
      <c r="K79" s="15">
        <v>0</v>
      </c>
      <c r="L79" s="19">
        <v>0</v>
      </c>
      <c r="M79" s="15">
        <v>5</v>
      </c>
    </row>
    <row r="80" spans="1:13" x14ac:dyDescent="0.3">
      <c r="A80" s="1" t="s">
        <v>177</v>
      </c>
      <c r="B80" s="1" t="s">
        <v>178</v>
      </c>
      <c r="C80" s="1" t="s">
        <v>15</v>
      </c>
      <c r="D80" s="2">
        <v>45426</v>
      </c>
      <c r="E80" s="13" t="s">
        <v>16</v>
      </c>
      <c r="F80" s="15">
        <v>15</v>
      </c>
      <c r="G80" s="1" t="s">
        <v>17</v>
      </c>
      <c r="H80" s="13" t="s">
        <v>16</v>
      </c>
      <c r="I80" s="15">
        <v>30</v>
      </c>
      <c r="J80" s="13" t="s">
        <v>16</v>
      </c>
      <c r="K80" s="15">
        <v>20</v>
      </c>
      <c r="L80">
        <v>3</v>
      </c>
      <c r="M80" s="15">
        <v>62</v>
      </c>
    </row>
    <row r="81" spans="1:13" x14ac:dyDescent="0.3">
      <c r="A81" s="1" t="s">
        <v>179</v>
      </c>
      <c r="B81" s="1" t="s">
        <v>180</v>
      </c>
      <c r="C81" s="1" t="s">
        <v>25</v>
      </c>
      <c r="D81" s="2">
        <v>45427</v>
      </c>
      <c r="E81" s="13" t="s">
        <v>21</v>
      </c>
      <c r="F81" s="15">
        <v>10</v>
      </c>
      <c r="G81" s="1" t="s">
        <v>22</v>
      </c>
      <c r="H81" s="13" t="s">
        <v>21</v>
      </c>
      <c r="I81" s="15">
        <v>0</v>
      </c>
      <c r="J81" s="13" t="s">
        <v>16</v>
      </c>
      <c r="K81" s="15">
        <v>20</v>
      </c>
      <c r="L81">
        <v>15</v>
      </c>
      <c r="M81" s="15">
        <v>15</v>
      </c>
    </row>
    <row r="82" spans="1:13" x14ac:dyDescent="0.3">
      <c r="A82" s="1" t="s">
        <v>181</v>
      </c>
      <c r="B82" s="1" t="s">
        <v>182</v>
      </c>
      <c r="C82" s="1" t="s">
        <v>20</v>
      </c>
      <c r="D82" s="2">
        <v>45428</v>
      </c>
      <c r="E82" s="13" t="s">
        <v>16</v>
      </c>
      <c r="F82" s="15">
        <v>5</v>
      </c>
      <c r="G82" s="1" t="s">
        <v>17</v>
      </c>
      <c r="H82" s="13" t="s">
        <v>21</v>
      </c>
      <c r="I82" s="15">
        <v>0</v>
      </c>
      <c r="J82" s="13" t="s">
        <v>21</v>
      </c>
      <c r="K82" s="15">
        <v>0</v>
      </c>
      <c r="L82" s="19">
        <v>1</v>
      </c>
      <c r="M82" s="15">
        <v>4</v>
      </c>
    </row>
    <row r="83" spans="1:13" x14ac:dyDescent="0.3">
      <c r="A83" s="1" t="s">
        <v>183</v>
      </c>
      <c r="B83" s="1" t="s">
        <v>184</v>
      </c>
      <c r="C83" s="1" t="s">
        <v>15</v>
      </c>
      <c r="D83" s="2">
        <v>45429</v>
      </c>
      <c r="E83" s="13" t="s">
        <v>21</v>
      </c>
      <c r="F83" s="15">
        <v>15</v>
      </c>
      <c r="G83" s="1" t="s">
        <v>26</v>
      </c>
      <c r="H83" s="13" t="s">
        <v>16</v>
      </c>
      <c r="I83" s="15">
        <v>30</v>
      </c>
      <c r="J83" s="13" t="s">
        <v>16</v>
      </c>
      <c r="K83" s="15">
        <v>20</v>
      </c>
      <c r="L83">
        <v>7</v>
      </c>
      <c r="M83" s="15">
        <v>58</v>
      </c>
    </row>
    <row r="84" spans="1:13" x14ac:dyDescent="0.3">
      <c r="A84" s="1" t="s">
        <v>185</v>
      </c>
      <c r="B84" s="1" t="s">
        <v>186</v>
      </c>
      <c r="C84" s="1" t="s">
        <v>25</v>
      </c>
      <c r="D84" s="2">
        <v>45430</v>
      </c>
      <c r="E84" s="13" t="s">
        <v>16</v>
      </c>
      <c r="F84" s="15">
        <v>10</v>
      </c>
      <c r="G84" s="1" t="s">
        <v>17</v>
      </c>
      <c r="H84" s="13" t="s">
        <v>21</v>
      </c>
      <c r="I84" s="15">
        <v>0</v>
      </c>
      <c r="J84" s="13" t="s">
        <v>16</v>
      </c>
      <c r="K84" s="15">
        <v>20</v>
      </c>
      <c r="L84">
        <v>10</v>
      </c>
      <c r="M84" s="15">
        <v>20</v>
      </c>
    </row>
    <row r="85" spans="1:13" x14ac:dyDescent="0.3">
      <c r="A85" s="1" t="s">
        <v>187</v>
      </c>
      <c r="B85" s="1" t="s">
        <v>188</v>
      </c>
      <c r="C85" s="1" t="s">
        <v>20</v>
      </c>
      <c r="D85" s="2">
        <v>45431</v>
      </c>
      <c r="E85" s="13" t="s">
        <v>21</v>
      </c>
      <c r="F85" s="15">
        <v>5</v>
      </c>
      <c r="G85" s="1" t="s">
        <v>22</v>
      </c>
      <c r="H85" s="13" t="s">
        <v>21</v>
      </c>
      <c r="I85" s="15">
        <v>0</v>
      </c>
      <c r="J85" s="13" t="s">
        <v>21</v>
      </c>
      <c r="K85" s="15">
        <v>0</v>
      </c>
      <c r="L85" s="19">
        <v>0</v>
      </c>
      <c r="M85" s="15">
        <v>5</v>
      </c>
    </row>
    <row r="86" spans="1:13" x14ac:dyDescent="0.3">
      <c r="A86" s="1" t="s">
        <v>189</v>
      </c>
      <c r="B86" s="1" t="s">
        <v>190</v>
      </c>
      <c r="C86" s="1" t="s">
        <v>15</v>
      </c>
      <c r="D86" s="2">
        <v>45432</v>
      </c>
      <c r="E86" s="13" t="s">
        <v>16</v>
      </c>
      <c r="F86" s="15">
        <v>15</v>
      </c>
      <c r="G86" s="1" t="s">
        <v>17</v>
      </c>
      <c r="H86" s="13" t="s">
        <v>16</v>
      </c>
      <c r="I86" s="15">
        <v>30</v>
      </c>
      <c r="J86" s="13" t="s">
        <v>16</v>
      </c>
      <c r="K86" s="15">
        <v>20</v>
      </c>
      <c r="L86">
        <v>20</v>
      </c>
      <c r="M86" s="15">
        <v>45</v>
      </c>
    </row>
    <row r="87" spans="1:13" x14ac:dyDescent="0.3">
      <c r="A87" s="1" t="s">
        <v>191</v>
      </c>
      <c r="B87" s="1" t="s">
        <v>192</v>
      </c>
      <c r="C87" s="1" t="s">
        <v>25</v>
      </c>
      <c r="D87" s="2">
        <v>45433</v>
      </c>
      <c r="E87" s="13" t="s">
        <v>21</v>
      </c>
      <c r="F87" s="15">
        <v>10</v>
      </c>
      <c r="G87" s="1" t="s">
        <v>26</v>
      </c>
      <c r="H87" s="13" t="s">
        <v>21</v>
      </c>
      <c r="I87" s="15">
        <v>0</v>
      </c>
      <c r="J87" s="13" t="s">
        <v>16</v>
      </c>
      <c r="K87" s="15">
        <v>20</v>
      </c>
      <c r="L87">
        <v>15</v>
      </c>
      <c r="M87" s="15">
        <v>15</v>
      </c>
    </row>
    <row r="88" spans="1:13" x14ac:dyDescent="0.3">
      <c r="A88" s="1" t="s">
        <v>193</v>
      </c>
      <c r="B88" s="1" t="s">
        <v>194</v>
      </c>
      <c r="C88" s="1" t="s">
        <v>20</v>
      </c>
      <c r="D88" s="2">
        <v>45434</v>
      </c>
      <c r="E88" s="13" t="s">
        <v>16</v>
      </c>
      <c r="F88" s="15">
        <v>5</v>
      </c>
      <c r="G88" s="1" t="s">
        <v>17</v>
      </c>
      <c r="H88" s="13" t="s">
        <v>21</v>
      </c>
      <c r="I88" s="15">
        <v>0</v>
      </c>
      <c r="J88" s="13" t="s">
        <v>21</v>
      </c>
      <c r="K88" s="15">
        <v>0</v>
      </c>
      <c r="L88" s="19">
        <v>1</v>
      </c>
      <c r="M88" s="15">
        <v>4</v>
      </c>
    </row>
    <row r="89" spans="1:13" x14ac:dyDescent="0.3">
      <c r="A89" s="1" t="s">
        <v>195</v>
      </c>
      <c r="B89" s="1" t="s">
        <v>196</v>
      </c>
      <c r="C89" s="1" t="s">
        <v>15</v>
      </c>
      <c r="D89" s="2">
        <v>45435</v>
      </c>
      <c r="E89" s="13" t="s">
        <v>21</v>
      </c>
      <c r="F89" s="15">
        <v>15</v>
      </c>
      <c r="G89" s="1" t="s">
        <v>22</v>
      </c>
      <c r="H89" s="13" t="s">
        <v>16</v>
      </c>
      <c r="I89" s="15">
        <v>30</v>
      </c>
      <c r="J89" s="13" t="s">
        <v>16</v>
      </c>
      <c r="K89" s="15">
        <v>20</v>
      </c>
      <c r="L89">
        <v>3</v>
      </c>
      <c r="M89" s="15">
        <v>62</v>
      </c>
    </row>
    <row r="90" spans="1:13" x14ac:dyDescent="0.3">
      <c r="A90" s="1" t="s">
        <v>197</v>
      </c>
      <c r="B90" s="1" t="s">
        <v>198</v>
      </c>
      <c r="C90" s="1" t="s">
        <v>25</v>
      </c>
      <c r="D90" s="2">
        <v>45436</v>
      </c>
      <c r="E90" s="13" t="s">
        <v>16</v>
      </c>
      <c r="F90" s="15">
        <v>10</v>
      </c>
      <c r="G90" s="1" t="s">
        <v>17</v>
      </c>
      <c r="H90" s="13" t="s">
        <v>21</v>
      </c>
      <c r="I90" s="15">
        <v>0</v>
      </c>
      <c r="J90" s="13" t="s">
        <v>16</v>
      </c>
      <c r="K90" s="15">
        <v>20</v>
      </c>
      <c r="L90">
        <v>10</v>
      </c>
      <c r="M90" s="15">
        <v>20</v>
      </c>
    </row>
    <row r="91" spans="1:13" x14ac:dyDescent="0.3">
      <c r="A91" s="1" t="s">
        <v>199</v>
      </c>
      <c r="B91" s="1" t="s">
        <v>200</v>
      </c>
      <c r="C91" s="1" t="s">
        <v>20</v>
      </c>
      <c r="D91" s="2">
        <v>45437</v>
      </c>
      <c r="E91" s="13" t="s">
        <v>21</v>
      </c>
      <c r="F91" s="15">
        <v>5</v>
      </c>
      <c r="G91" s="1" t="s">
        <v>26</v>
      </c>
      <c r="H91" s="13" t="s">
        <v>21</v>
      </c>
      <c r="I91" s="15">
        <v>0</v>
      </c>
      <c r="J91" s="13" t="s">
        <v>21</v>
      </c>
      <c r="K91" s="15">
        <v>0</v>
      </c>
      <c r="L91" s="19">
        <v>0</v>
      </c>
      <c r="M91" s="15">
        <v>5</v>
      </c>
    </row>
    <row r="92" spans="1:13" x14ac:dyDescent="0.3">
      <c r="A92" s="1" t="s">
        <v>201</v>
      </c>
      <c r="B92" s="1" t="s">
        <v>202</v>
      </c>
      <c r="C92" s="1" t="s">
        <v>15</v>
      </c>
      <c r="D92" s="2">
        <v>45438</v>
      </c>
      <c r="E92" s="13" t="s">
        <v>16</v>
      </c>
      <c r="F92" s="15">
        <v>15</v>
      </c>
      <c r="G92" s="1" t="s">
        <v>17</v>
      </c>
      <c r="H92" s="13" t="s">
        <v>16</v>
      </c>
      <c r="I92" s="15">
        <v>30</v>
      </c>
      <c r="J92" s="13" t="s">
        <v>16</v>
      </c>
      <c r="K92" s="15">
        <v>20</v>
      </c>
      <c r="L92">
        <v>5</v>
      </c>
      <c r="M92" s="15">
        <v>60</v>
      </c>
    </row>
    <row r="93" spans="1:13" x14ac:dyDescent="0.3">
      <c r="A93" s="1" t="s">
        <v>203</v>
      </c>
      <c r="B93" s="1" t="s">
        <v>204</v>
      </c>
      <c r="C93" s="1" t="s">
        <v>25</v>
      </c>
      <c r="D93" s="2">
        <v>45439</v>
      </c>
      <c r="E93" s="13" t="s">
        <v>21</v>
      </c>
      <c r="F93" s="15">
        <v>10</v>
      </c>
      <c r="G93" s="1" t="s">
        <v>22</v>
      </c>
      <c r="H93" s="13" t="s">
        <v>21</v>
      </c>
      <c r="I93" s="15">
        <v>0</v>
      </c>
      <c r="J93" s="13" t="s">
        <v>16</v>
      </c>
      <c r="K93" s="15">
        <v>20</v>
      </c>
      <c r="L93">
        <v>15</v>
      </c>
      <c r="M93" s="15">
        <v>15</v>
      </c>
    </row>
    <row r="94" spans="1:13" x14ac:dyDescent="0.3">
      <c r="A94" s="1" t="s">
        <v>205</v>
      </c>
      <c r="B94" s="1" t="s">
        <v>206</v>
      </c>
      <c r="C94" s="1" t="s">
        <v>20</v>
      </c>
      <c r="D94" s="2">
        <v>45440</v>
      </c>
      <c r="E94" s="13" t="s">
        <v>16</v>
      </c>
      <c r="F94" s="15">
        <v>5</v>
      </c>
      <c r="G94" s="1" t="s">
        <v>17</v>
      </c>
      <c r="H94" s="13" t="s">
        <v>21</v>
      </c>
      <c r="I94" s="15">
        <v>0</v>
      </c>
      <c r="J94" s="13" t="s">
        <v>21</v>
      </c>
      <c r="K94" s="15">
        <v>0</v>
      </c>
      <c r="L94" s="19">
        <v>1</v>
      </c>
      <c r="M94" s="15">
        <v>4</v>
      </c>
    </row>
    <row r="95" spans="1:13" x14ac:dyDescent="0.3">
      <c r="A95" s="1" t="s">
        <v>207</v>
      </c>
      <c r="B95" s="1" t="s">
        <v>208</v>
      </c>
      <c r="C95" s="1" t="s">
        <v>15</v>
      </c>
      <c r="D95" s="2">
        <v>45441</v>
      </c>
      <c r="E95" s="13" t="s">
        <v>21</v>
      </c>
      <c r="F95" s="15">
        <v>15</v>
      </c>
      <c r="G95" s="1" t="s">
        <v>26</v>
      </c>
      <c r="H95" s="13" t="s">
        <v>16</v>
      </c>
      <c r="I95" s="15">
        <v>30</v>
      </c>
      <c r="J95" s="13" t="s">
        <v>16</v>
      </c>
      <c r="K95" s="15">
        <v>20</v>
      </c>
      <c r="L95">
        <v>20</v>
      </c>
      <c r="M95" s="15">
        <v>45</v>
      </c>
    </row>
    <row r="96" spans="1:13" x14ac:dyDescent="0.3">
      <c r="A96" s="1" t="s">
        <v>209</v>
      </c>
      <c r="B96" s="1" t="s">
        <v>210</v>
      </c>
      <c r="C96" s="1" t="s">
        <v>25</v>
      </c>
      <c r="D96" s="2">
        <v>45442</v>
      </c>
      <c r="E96" s="13" t="s">
        <v>16</v>
      </c>
      <c r="F96" s="15">
        <v>10</v>
      </c>
      <c r="G96" s="1" t="s">
        <v>26</v>
      </c>
      <c r="H96" s="13" t="s">
        <v>21</v>
      </c>
      <c r="I96" s="15">
        <v>0</v>
      </c>
      <c r="J96" s="13" t="s">
        <v>16</v>
      </c>
      <c r="K96" s="15">
        <v>20</v>
      </c>
      <c r="L96">
        <v>15</v>
      </c>
      <c r="M96" s="15">
        <v>15</v>
      </c>
    </row>
    <row r="97" spans="1:13" x14ac:dyDescent="0.3">
      <c r="A97" s="1" t="s">
        <v>211</v>
      </c>
      <c r="B97" s="1" t="s">
        <v>212</v>
      </c>
      <c r="C97" s="1" t="s">
        <v>20</v>
      </c>
      <c r="D97" s="2">
        <v>45443</v>
      </c>
      <c r="E97" s="13" t="s">
        <v>21</v>
      </c>
      <c r="F97" s="15">
        <v>5</v>
      </c>
      <c r="G97" s="1" t="s">
        <v>22</v>
      </c>
      <c r="H97" s="13" t="s">
        <v>21</v>
      </c>
      <c r="I97" s="15">
        <v>0</v>
      </c>
      <c r="J97" s="13" t="s">
        <v>21</v>
      </c>
      <c r="K97" s="15">
        <v>0</v>
      </c>
      <c r="L97" s="19">
        <v>0</v>
      </c>
      <c r="M97" s="15">
        <v>5</v>
      </c>
    </row>
    <row r="98" spans="1:13" x14ac:dyDescent="0.3">
      <c r="A98" s="1" t="s">
        <v>213</v>
      </c>
      <c r="B98" s="1" t="s">
        <v>214</v>
      </c>
      <c r="C98" s="1" t="s">
        <v>15</v>
      </c>
      <c r="D98" s="2">
        <v>45444</v>
      </c>
      <c r="E98" s="13" t="s">
        <v>16</v>
      </c>
      <c r="F98" s="15">
        <v>15</v>
      </c>
      <c r="G98" s="1" t="s">
        <v>17</v>
      </c>
      <c r="H98" s="13" t="s">
        <v>16</v>
      </c>
      <c r="I98" s="15">
        <v>30</v>
      </c>
      <c r="J98" s="13" t="s">
        <v>16</v>
      </c>
      <c r="K98" s="15">
        <v>20</v>
      </c>
      <c r="L98">
        <v>7</v>
      </c>
      <c r="M98" s="15">
        <v>58</v>
      </c>
    </row>
    <row r="99" spans="1:13" x14ac:dyDescent="0.3">
      <c r="A99" s="1" t="s">
        <v>215</v>
      </c>
      <c r="B99" s="1" t="s">
        <v>216</v>
      </c>
      <c r="C99" s="1" t="s">
        <v>25</v>
      </c>
      <c r="D99" s="2">
        <v>45445</v>
      </c>
      <c r="E99" s="13" t="s">
        <v>21</v>
      </c>
      <c r="F99" s="15">
        <v>10</v>
      </c>
      <c r="G99" s="1" t="s">
        <v>22</v>
      </c>
      <c r="H99" s="13" t="s">
        <v>21</v>
      </c>
      <c r="I99" s="15">
        <v>0</v>
      </c>
      <c r="J99" s="13" t="s">
        <v>16</v>
      </c>
      <c r="K99" s="15">
        <v>20</v>
      </c>
      <c r="L99">
        <v>10</v>
      </c>
      <c r="M99" s="15">
        <v>20</v>
      </c>
    </row>
    <row r="100" spans="1:13" x14ac:dyDescent="0.3">
      <c r="A100" s="1" t="s">
        <v>217</v>
      </c>
      <c r="B100" s="1" t="s">
        <v>218</v>
      </c>
      <c r="C100" s="1" t="s">
        <v>20</v>
      </c>
      <c r="D100" s="2">
        <v>45446</v>
      </c>
      <c r="E100" s="13" t="s">
        <v>16</v>
      </c>
      <c r="F100" s="15">
        <v>5</v>
      </c>
      <c r="G100" s="1" t="s">
        <v>26</v>
      </c>
      <c r="H100" s="13" t="s">
        <v>21</v>
      </c>
      <c r="I100" s="15">
        <v>0</v>
      </c>
      <c r="J100" s="13" t="s">
        <v>21</v>
      </c>
      <c r="K100" s="15">
        <v>0</v>
      </c>
      <c r="L100" s="19">
        <v>1</v>
      </c>
      <c r="M100" s="15">
        <v>4</v>
      </c>
    </row>
    <row r="101" spans="1:13" x14ac:dyDescent="0.3">
      <c r="A101" s="1" t="s">
        <v>219</v>
      </c>
      <c r="B101" s="1" t="s">
        <v>220</v>
      </c>
      <c r="C101" s="1" t="s">
        <v>15</v>
      </c>
      <c r="D101" s="2">
        <v>45447</v>
      </c>
      <c r="E101" s="13" t="s">
        <v>21</v>
      </c>
      <c r="F101" s="15">
        <v>15</v>
      </c>
      <c r="G101" s="1" t="s">
        <v>17</v>
      </c>
      <c r="H101" s="13" t="s">
        <v>16</v>
      </c>
      <c r="I101" s="15">
        <v>30</v>
      </c>
      <c r="J101" s="13" t="s">
        <v>16</v>
      </c>
      <c r="K101" s="15">
        <v>20</v>
      </c>
      <c r="L101">
        <v>15</v>
      </c>
      <c r="M101" s="15">
        <v>50</v>
      </c>
    </row>
    <row r="102" spans="1:13" x14ac:dyDescent="0.3">
      <c r="A102" s="1" t="s">
        <v>221</v>
      </c>
      <c r="B102" s="1" t="s">
        <v>222</v>
      </c>
      <c r="C102" s="1" t="s">
        <v>25</v>
      </c>
      <c r="D102" s="2">
        <v>45448</v>
      </c>
      <c r="E102" s="13" t="s">
        <v>16</v>
      </c>
      <c r="F102" s="15">
        <v>10</v>
      </c>
      <c r="G102" s="1" t="s">
        <v>17</v>
      </c>
      <c r="H102" s="13" t="s">
        <v>21</v>
      </c>
      <c r="I102" s="15">
        <v>0</v>
      </c>
      <c r="J102" s="13" t="s">
        <v>16</v>
      </c>
      <c r="K102" s="15">
        <v>20</v>
      </c>
      <c r="L102">
        <v>5</v>
      </c>
      <c r="M102" s="15">
        <v>25</v>
      </c>
    </row>
    <row r="103" spans="1:13" x14ac:dyDescent="0.3">
      <c r="A103" s="1" t="s">
        <v>223</v>
      </c>
      <c r="B103" s="1" t="s">
        <v>224</v>
      </c>
      <c r="C103" s="1" t="s">
        <v>20</v>
      </c>
      <c r="D103" s="2">
        <v>45449</v>
      </c>
      <c r="E103" s="13" t="s">
        <v>21</v>
      </c>
      <c r="F103" s="15">
        <v>5</v>
      </c>
      <c r="G103" s="1" t="s">
        <v>22</v>
      </c>
      <c r="H103" s="13" t="s">
        <v>21</v>
      </c>
      <c r="I103" s="15">
        <v>0</v>
      </c>
      <c r="J103" s="13" t="s">
        <v>21</v>
      </c>
      <c r="K103" s="15">
        <v>0</v>
      </c>
      <c r="L103" s="19">
        <v>0</v>
      </c>
      <c r="M103" s="15">
        <v>5</v>
      </c>
    </row>
    <row r="104" spans="1:13" x14ac:dyDescent="0.3">
      <c r="A104" s="1" t="s">
        <v>225</v>
      </c>
      <c r="B104" s="1" t="s">
        <v>226</v>
      </c>
      <c r="C104" s="1" t="s">
        <v>15</v>
      </c>
      <c r="D104" s="2">
        <v>45450</v>
      </c>
      <c r="E104" s="13" t="s">
        <v>16</v>
      </c>
      <c r="F104" s="15">
        <v>15</v>
      </c>
      <c r="G104" s="1" t="s">
        <v>26</v>
      </c>
      <c r="H104" s="13" t="s">
        <v>16</v>
      </c>
      <c r="I104" s="15">
        <v>30</v>
      </c>
      <c r="J104" s="13" t="s">
        <v>16</v>
      </c>
      <c r="K104" s="15">
        <v>20</v>
      </c>
      <c r="L104">
        <v>20</v>
      </c>
      <c r="M104" s="15">
        <v>45</v>
      </c>
    </row>
    <row r="105" spans="1:13" x14ac:dyDescent="0.3">
      <c r="A105" s="1" t="s">
        <v>227</v>
      </c>
      <c r="B105" s="1" t="s">
        <v>228</v>
      </c>
      <c r="C105" s="1" t="s">
        <v>25</v>
      </c>
      <c r="D105" s="2">
        <v>45451</v>
      </c>
      <c r="E105" s="13" t="s">
        <v>21</v>
      </c>
      <c r="F105" s="15">
        <v>10</v>
      </c>
      <c r="G105" s="1" t="s">
        <v>26</v>
      </c>
      <c r="H105" s="13" t="s">
        <v>21</v>
      </c>
      <c r="I105" s="15">
        <v>0</v>
      </c>
      <c r="J105" s="13" t="s">
        <v>16</v>
      </c>
      <c r="K105" s="15">
        <v>20</v>
      </c>
      <c r="L105">
        <v>12</v>
      </c>
      <c r="M105" s="15">
        <v>18</v>
      </c>
    </row>
    <row r="106" spans="1:13" x14ac:dyDescent="0.3">
      <c r="A106" s="1" t="s">
        <v>229</v>
      </c>
      <c r="B106" s="1" t="s">
        <v>230</v>
      </c>
      <c r="C106" s="1" t="s">
        <v>20</v>
      </c>
      <c r="D106" s="2">
        <v>45452</v>
      </c>
      <c r="E106" s="13" t="s">
        <v>16</v>
      </c>
      <c r="F106" s="15">
        <v>5</v>
      </c>
      <c r="G106" s="1" t="s">
        <v>17</v>
      </c>
      <c r="H106" s="13" t="s">
        <v>21</v>
      </c>
      <c r="I106" s="15">
        <v>0</v>
      </c>
      <c r="J106" s="13" t="s">
        <v>21</v>
      </c>
      <c r="K106" s="15">
        <v>0</v>
      </c>
      <c r="L106" s="19">
        <v>2</v>
      </c>
      <c r="M106" s="15">
        <v>3</v>
      </c>
    </row>
    <row r="107" spans="1:13" x14ac:dyDescent="0.3">
      <c r="A107" s="1" t="s">
        <v>231</v>
      </c>
      <c r="B107" s="1" t="s">
        <v>232</v>
      </c>
      <c r="C107" s="1" t="s">
        <v>20</v>
      </c>
      <c r="D107" s="2">
        <v>45453</v>
      </c>
      <c r="E107" s="13" t="s">
        <v>16</v>
      </c>
      <c r="F107" s="15">
        <v>5</v>
      </c>
      <c r="G107" s="1" t="s">
        <v>17</v>
      </c>
      <c r="H107" s="13" t="s">
        <v>21</v>
      </c>
      <c r="I107" s="15">
        <v>0</v>
      </c>
      <c r="J107" s="13" t="s">
        <v>21</v>
      </c>
      <c r="K107" s="15">
        <v>0</v>
      </c>
      <c r="L107" s="19">
        <v>0</v>
      </c>
      <c r="M107" s="15">
        <v>5</v>
      </c>
    </row>
    <row r="108" spans="1:13" x14ac:dyDescent="0.3">
      <c r="A108" s="1" t="s">
        <v>233</v>
      </c>
      <c r="B108" s="1" t="s">
        <v>234</v>
      </c>
      <c r="C108" s="1" t="s">
        <v>15</v>
      </c>
      <c r="D108" s="2">
        <v>45454</v>
      </c>
      <c r="E108" s="13" t="s">
        <v>21</v>
      </c>
      <c r="F108" s="15">
        <v>15</v>
      </c>
      <c r="G108" s="1" t="s">
        <v>26</v>
      </c>
      <c r="H108" s="13" t="s">
        <v>16</v>
      </c>
      <c r="I108" s="15">
        <v>30</v>
      </c>
      <c r="J108" s="13" t="s">
        <v>16</v>
      </c>
      <c r="K108" s="15">
        <v>20</v>
      </c>
      <c r="L108">
        <v>7</v>
      </c>
      <c r="M108" s="15">
        <v>58</v>
      </c>
    </row>
    <row r="109" spans="1:13" x14ac:dyDescent="0.3">
      <c r="A109" s="1" t="s">
        <v>235</v>
      </c>
      <c r="B109" s="1" t="s">
        <v>236</v>
      </c>
      <c r="C109" s="1" t="s">
        <v>25</v>
      </c>
      <c r="D109" s="2">
        <v>45455</v>
      </c>
      <c r="E109" s="13" t="s">
        <v>16</v>
      </c>
      <c r="F109" s="15">
        <v>10</v>
      </c>
      <c r="G109" s="1" t="s">
        <v>22</v>
      </c>
      <c r="H109" s="13" t="s">
        <v>21</v>
      </c>
      <c r="I109" s="15">
        <v>0</v>
      </c>
      <c r="J109" s="13" t="s">
        <v>16</v>
      </c>
      <c r="K109" s="15">
        <v>20</v>
      </c>
      <c r="L109">
        <v>10</v>
      </c>
      <c r="M109" s="15">
        <v>20</v>
      </c>
    </row>
    <row r="110" spans="1:13" x14ac:dyDescent="0.3">
      <c r="A110" s="1" t="s">
        <v>237</v>
      </c>
      <c r="B110" s="1" t="s">
        <v>238</v>
      </c>
      <c r="C110" s="1" t="s">
        <v>20</v>
      </c>
      <c r="D110" s="2">
        <v>45456</v>
      </c>
      <c r="E110" s="13" t="s">
        <v>21</v>
      </c>
      <c r="F110" s="15">
        <v>5</v>
      </c>
      <c r="G110" s="1" t="s">
        <v>26</v>
      </c>
      <c r="H110" s="13" t="s">
        <v>21</v>
      </c>
      <c r="I110" s="15">
        <v>0</v>
      </c>
      <c r="J110" s="13" t="s">
        <v>21</v>
      </c>
      <c r="K110" s="15">
        <v>0</v>
      </c>
      <c r="L110" s="19">
        <v>1</v>
      </c>
      <c r="M110" s="15">
        <v>4</v>
      </c>
    </row>
    <row r="111" spans="1:13" x14ac:dyDescent="0.3">
      <c r="A111" s="1" t="s">
        <v>239</v>
      </c>
      <c r="B111" s="1" t="s">
        <v>240</v>
      </c>
      <c r="C111" s="1" t="s">
        <v>15</v>
      </c>
      <c r="D111" s="2">
        <v>45457</v>
      </c>
      <c r="E111" s="13" t="s">
        <v>16</v>
      </c>
      <c r="F111" s="15">
        <v>15</v>
      </c>
      <c r="G111" s="1" t="s">
        <v>17</v>
      </c>
      <c r="H111" s="13" t="s">
        <v>16</v>
      </c>
      <c r="I111" s="15">
        <v>30</v>
      </c>
      <c r="J111" s="13" t="s">
        <v>16</v>
      </c>
      <c r="K111" s="15">
        <v>20</v>
      </c>
      <c r="L111">
        <v>15</v>
      </c>
      <c r="M111" s="15">
        <v>50</v>
      </c>
    </row>
    <row r="112" spans="1:13" x14ac:dyDescent="0.3">
      <c r="A112" s="1" t="s">
        <v>241</v>
      </c>
      <c r="B112" s="1" t="s">
        <v>242</v>
      </c>
      <c r="C112" s="1" t="s">
        <v>25</v>
      </c>
      <c r="D112" s="2">
        <v>45458</v>
      </c>
      <c r="E112" s="13" t="s">
        <v>21</v>
      </c>
      <c r="F112" s="15">
        <v>10</v>
      </c>
      <c r="G112" s="1" t="s">
        <v>17</v>
      </c>
      <c r="H112" s="13" t="s">
        <v>21</v>
      </c>
      <c r="I112" s="15">
        <v>0</v>
      </c>
      <c r="J112" s="13" t="s">
        <v>16</v>
      </c>
      <c r="K112" s="15">
        <v>20</v>
      </c>
      <c r="L112">
        <v>5</v>
      </c>
      <c r="M112" s="15">
        <v>25</v>
      </c>
    </row>
    <row r="113" spans="1:13" x14ac:dyDescent="0.3">
      <c r="A113" s="1" t="s">
        <v>243</v>
      </c>
      <c r="B113" s="1" t="s">
        <v>244</v>
      </c>
      <c r="C113" s="1" t="s">
        <v>20</v>
      </c>
      <c r="D113" s="2">
        <v>45459</v>
      </c>
      <c r="E113" s="13" t="s">
        <v>16</v>
      </c>
      <c r="F113" s="15">
        <v>5</v>
      </c>
      <c r="G113" s="1" t="s">
        <v>22</v>
      </c>
      <c r="H113" s="13" t="s">
        <v>21</v>
      </c>
      <c r="I113" s="15">
        <v>0</v>
      </c>
      <c r="J113" s="13" t="s">
        <v>21</v>
      </c>
      <c r="K113" s="15">
        <v>0</v>
      </c>
      <c r="L113" s="19">
        <v>0</v>
      </c>
      <c r="M113" s="15">
        <v>5</v>
      </c>
    </row>
    <row r="114" spans="1:13" x14ac:dyDescent="0.3">
      <c r="A114" s="1" t="s">
        <v>245</v>
      </c>
      <c r="B114" s="1" t="s">
        <v>246</v>
      </c>
      <c r="C114" s="1" t="s">
        <v>15</v>
      </c>
      <c r="D114" s="2">
        <v>45460</v>
      </c>
      <c r="E114" s="13" t="s">
        <v>21</v>
      </c>
      <c r="F114" s="15">
        <v>15</v>
      </c>
      <c r="G114" s="1" t="s">
        <v>26</v>
      </c>
      <c r="H114" s="13" t="s">
        <v>16</v>
      </c>
      <c r="I114" s="15">
        <v>30</v>
      </c>
      <c r="J114" s="13" t="s">
        <v>16</v>
      </c>
      <c r="K114" s="15">
        <v>20</v>
      </c>
      <c r="L114">
        <v>20</v>
      </c>
      <c r="M114" s="15">
        <v>45</v>
      </c>
    </row>
    <row r="115" spans="1:13" x14ac:dyDescent="0.3">
      <c r="A115" s="1" t="s">
        <v>247</v>
      </c>
      <c r="B115" s="1" t="s">
        <v>248</v>
      </c>
      <c r="C115" s="1" t="s">
        <v>25</v>
      </c>
      <c r="D115" s="2">
        <v>45461</v>
      </c>
      <c r="E115" s="13" t="s">
        <v>16</v>
      </c>
      <c r="F115" s="15">
        <v>10</v>
      </c>
      <c r="G115" s="1" t="s">
        <v>26</v>
      </c>
      <c r="H115" s="13" t="s">
        <v>21</v>
      </c>
      <c r="I115" s="15">
        <v>0</v>
      </c>
      <c r="J115" s="13" t="s">
        <v>16</v>
      </c>
      <c r="K115" s="15">
        <v>20</v>
      </c>
      <c r="L115">
        <v>12</v>
      </c>
      <c r="M115" s="15">
        <v>18</v>
      </c>
    </row>
    <row r="116" spans="1:13" x14ac:dyDescent="0.3">
      <c r="A116" s="1" t="s">
        <v>249</v>
      </c>
      <c r="B116" s="1" t="s">
        <v>250</v>
      </c>
      <c r="C116" s="1" t="s">
        <v>20</v>
      </c>
      <c r="D116" s="2">
        <v>45462</v>
      </c>
      <c r="E116" s="13" t="s">
        <v>21</v>
      </c>
      <c r="F116" s="15">
        <v>5</v>
      </c>
      <c r="G116" s="1" t="s">
        <v>17</v>
      </c>
      <c r="H116" s="13" t="s">
        <v>21</v>
      </c>
      <c r="I116" s="15">
        <v>0</v>
      </c>
      <c r="J116" s="13" t="s">
        <v>21</v>
      </c>
      <c r="K116" s="15">
        <v>0</v>
      </c>
      <c r="L116" s="19">
        <v>2</v>
      </c>
      <c r="M116" s="15">
        <v>3</v>
      </c>
    </row>
    <row r="117" spans="1:13" x14ac:dyDescent="0.3">
      <c r="A117" s="1" t="s">
        <v>251</v>
      </c>
      <c r="B117" s="1" t="s">
        <v>252</v>
      </c>
      <c r="C117" s="1" t="s">
        <v>15</v>
      </c>
      <c r="D117" s="2">
        <v>45463</v>
      </c>
      <c r="E117" s="13" t="s">
        <v>16</v>
      </c>
      <c r="F117" s="15">
        <v>15</v>
      </c>
      <c r="G117" s="1" t="s">
        <v>22</v>
      </c>
      <c r="H117" s="13" t="s">
        <v>16</v>
      </c>
      <c r="I117" s="15">
        <v>30</v>
      </c>
      <c r="J117" s="13" t="s">
        <v>16</v>
      </c>
      <c r="K117" s="15">
        <v>20</v>
      </c>
      <c r="L117">
        <v>5</v>
      </c>
      <c r="M117" s="15">
        <v>60</v>
      </c>
    </row>
    <row r="118" spans="1:13" x14ac:dyDescent="0.3">
      <c r="A118" s="1" t="s">
        <v>253</v>
      </c>
      <c r="B118" s="1" t="s">
        <v>254</v>
      </c>
      <c r="C118" s="1" t="s">
        <v>25</v>
      </c>
      <c r="D118" s="2">
        <v>45464</v>
      </c>
      <c r="E118" s="13" t="s">
        <v>21</v>
      </c>
      <c r="F118" s="15">
        <v>10</v>
      </c>
      <c r="G118" s="1" t="s">
        <v>17</v>
      </c>
      <c r="H118" s="13" t="s">
        <v>21</v>
      </c>
      <c r="I118" s="15">
        <v>0</v>
      </c>
      <c r="J118" s="13" t="s">
        <v>16</v>
      </c>
      <c r="K118" s="15">
        <v>20</v>
      </c>
      <c r="L118">
        <v>10</v>
      </c>
      <c r="M118" s="15">
        <v>20</v>
      </c>
    </row>
    <row r="119" spans="1:13" x14ac:dyDescent="0.3">
      <c r="A119" s="1" t="s">
        <v>255</v>
      </c>
      <c r="B119" s="1" t="s">
        <v>256</v>
      </c>
      <c r="C119" s="1" t="s">
        <v>20</v>
      </c>
      <c r="D119" s="2">
        <v>45465</v>
      </c>
      <c r="E119" s="13" t="s">
        <v>16</v>
      </c>
      <c r="F119" s="15">
        <v>5</v>
      </c>
      <c r="G119" s="1" t="s">
        <v>26</v>
      </c>
      <c r="H119" s="13" t="s">
        <v>21</v>
      </c>
      <c r="I119" s="15">
        <v>0</v>
      </c>
      <c r="J119" s="13" t="s">
        <v>21</v>
      </c>
      <c r="K119" s="15">
        <v>0</v>
      </c>
      <c r="L119" s="19">
        <v>0</v>
      </c>
      <c r="M119" s="15">
        <v>5</v>
      </c>
    </row>
    <row r="120" spans="1:13" x14ac:dyDescent="0.3">
      <c r="A120" s="1" t="s">
        <v>257</v>
      </c>
      <c r="B120" s="1" t="s">
        <v>208</v>
      </c>
      <c r="C120" s="1" t="s">
        <v>15</v>
      </c>
      <c r="D120" s="2">
        <v>45466</v>
      </c>
      <c r="E120" s="13" t="s">
        <v>21</v>
      </c>
      <c r="F120" s="15">
        <v>15</v>
      </c>
      <c r="G120" s="1" t="s">
        <v>17</v>
      </c>
      <c r="H120" s="13" t="s">
        <v>16</v>
      </c>
      <c r="I120" s="15">
        <v>30</v>
      </c>
      <c r="J120" s="13" t="s">
        <v>16</v>
      </c>
      <c r="K120" s="15">
        <v>20</v>
      </c>
      <c r="L120">
        <v>3</v>
      </c>
      <c r="M120" s="15">
        <v>62</v>
      </c>
    </row>
    <row r="121" spans="1:13" x14ac:dyDescent="0.3">
      <c r="A121" s="1" t="s">
        <v>258</v>
      </c>
      <c r="B121" s="1" t="s">
        <v>259</v>
      </c>
      <c r="C121" s="1" t="s">
        <v>25</v>
      </c>
      <c r="D121" s="2">
        <v>45467</v>
      </c>
      <c r="E121" s="13" t="s">
        <v>16</v>
      </c>
      <c r="F121" s="15">
        <v>10</v>
      </c>
      <c r="G121" s="1" t="s">
        <v>22</v>
      </c>
      <c r="H121" s="13" t="s">
        <v>21</v>
      </c>
      <c r="I121" s="15">
        <v>0</v>
      </c>
      <c r="J121" s="13" t="s">
        <v>16</v>
      </c>
      <c r="K121" s="15">
        <v>20</v>
      </c>
      <c r="L121">
        <v>15</v>
      </c>
      <c r="M121" s="15">
        <v>15</v>
      </c>
    </row>
    <row r="122" spans="1:13" x14ac:dyDescent="0.3">
      <c r="A122" s="1" t="s">
        <v>260</v>
      </c>
      <c r="B122" s="1" t="s">
        <v>261</v>
      </c>
      <c r="C122" s="1" t="s">
        <v>20</v>
      </c>
      <c r="D122" s="2">
        <v>45468</v>
      </c>
      <c r="E122" s="13" t="s">
        <v>21</v>
      </c>
      <c r="F122" s="15">
        <v>5</v>
      </c>
      <c r="G122" s="1" t="s">
        <v>17</v>
      </c>
      <c r="H122" s="13" t="s">
        <v>21</v>
      </c>
      <c r="I122" s="15">
        <v>0</v>
      </c>
      <c r="J122" s="13" t="s">
        <v>21</v>
      </c>
      <c r="K122" s="15">
        <v>0</v>
      </c>
      <c r="L122" s="19">
        <v>1</v>
      </c>
      <c r="M122" s="15">
        <v>4</v>
      </c>
    </row>
    <row r="123" spans="1:13" x14ac:dyDescent="0.3">
      <c r="A123" s="1" t="s">
        <v>262</v>
      </c>
      <c r="B123" s="1" t="s">
        <v>263</v>
      </c>
      <c r="C123" s="1" t="s">
        <v>15</v>
      </c>
      <c r="D123" s="2">
        <v>45469</v>
      </c>
      <c r="E123" s="13" t="s">
        <v>16</v>
      </c>
      <c r="F123" s="15">
        <v>15</v>
      </c>
      <c r="G123" s="1" t="s">
        <v>26</v>
      </c>
      <c r="H123" s="13" t="s">
        <v>16</v>
      </c>
      <c r="I123" s="15">
        <v>30</v>
      </c>
      <c r="J123" s="13" t="s">
        <v>16</v>
      </c>
      <c r="K123" s="15">
        <v>20</v>
      </c>
      <c r="L123">
        <v>7</v>
      </c>
      <c r="M123" s="15">
        <v>58</v>
      </c>
    </row>
    <row r="124" spans="1:13" x14ac:dyDescent="0.3">
      <c r="A124" s="1" t="s">
        <v>264</v>
      </c>
      <c r="B124" s="1" t="s">
        <v>265</v>
      </c>
      <c r="C124" s="1" t="s">
        <v>25</v>
      </c>
      <c r="D124" s="2">
        <v>45470</v>
      </c>
      <c r="E124" s="13" t="s">
        <v>21</v>
      </c>
      <c r="F124" s="15">
        <v>10</v>
      </c>
      <c r="G124" s="1" t="s">
        <v>17</v>
      </c>
      <c r="H124" s="13" t="s">
        <v>21</v>
      </c>
      <c r="I124" s="15">
        <v>0</v>
      </c>
      <c r="J124" s="13" t="s">
        <v>16</v>
      </c>
      <c r="K124" s="15">
        <v>20</v>
      </c>
      <c r="L124">
        <v>10</v>
      </c>
      <c r="M124" s="15">
        <v>20</v>
      </c>
    </row>
    <row r="125" spans="1:13" x14ac:dyDescent="0.3">
      <c r="A125" s="1" t="s">
        <v>266</v>
      </c>
      <c r="B125" s="1" t="s">
        <v>267</v>
      </c>
      <c r="C125" s="1" t="s">
        <v>20</v>
      </c>
      <c r="D125" s="2">
        <v>45471</v>
      </c>
      <c r="E125" s="13" t="s">
        <v>16</v>
      </c>
      <c r="F125" s="15">
        <v>5</v>
      </c>
      <c r="G125" s="1" t="s">
        <v>22</v>
      </c>
      <c r="H125" s="13" t="s">
        <v>21</v>
      </c>
      <c r="I125" s="15">
        <v>0</v>
      </c>
      <c r="J125" s="13" t="s">
        <v>21</v>
      </c>
      <c r="K125" s="15">
        <v>0</v>
      </c>
      <c r="L125" s="19">
        <v>0</v>
      </c>
      <c r="M125" s="15">
        <v>5</v>
      </c>
    </row>
    <row r="126" spans="1:13" x14ac:dyDescent="0.3">
      <c r="A126" s="1" t="s">
        <v>268</v>
      </c>
      <c r="B126" s="1" t="s">
        <v>269</v>
      </c>
      <c r="C126" s="1" t="s">
        <v>15</v>
      </c>
      <c r="D126" s="2">
        <v>45472</v>
      </c>
      <c r="E126" s="13" t="s">
        <v>21</v>
      </c>
      <c r="F126" s="15">
        <v>15</v>
      </c>
      <c r="G126" s="1" t="s">
        <v>17</v>
      </c>
      <c r="H126" s="13" t="s">
        <v>16</v>
      </c>
      <c r="I126" s="15">
        <v>30</v>
      </c>
      <c r="J126" s="13" t="s">
        <v>16</v>
      </c>
      <c r="K126" s="15">
        <v>20</v>
      </c>
      <c r="L126">
        <v>20</v>
      </c>
      <c r="M126" s="15">
        <v>45</v>
      </c>
    </row>
    <row r="127" spans="1:13" x14ac:dyDescent="0.3">
      <c r="A127" s="1" t="s">
        <v>270</v>
      </c>
      <c r="B127" s="1" t="s">
        <v>271</v>
      </c>
      <c r="C127" s="1" t="s">
        <v>25</v>
      </c>
      <c r="D127" s="2">
        <v>45473</v>
      </c>
      <c r="E127" s="13" t="s">
        <v>16</v>
      </c>
      <c r="F127" s="15">
        <v>10</v>
      </c>
      <c r="G127" s="1" t="s">
        <v>26</v>
      </c>
      <c r="H127" s="13" t="s">
        <v>21</v>
      </c>
      <c r="I127" s="15">
        <v>0</v>
      </c>
      <c r="J127" s="13" t="s">
        <v>16</v>
      </c>
      <c r="K127" s="15">
        <v>20</v>
      </c>
      <c r="L127">
        <v>15</v>
      </c>
      <c r="M127" s="15">
        <v>15</v>
      </c>
    </row>
    <row r="128" spans="1:13" x14ac:dyDescent="0.3">
      <c r="A128" s="1" t="s">
        <v>272</v>
      </c>
      <c r="B128" s="1" t="s">
        <v>273</v>
      </c>
      <c r="C128" s="1" t="s">
        <v>20</v>
      </c>
      <c r="D128" s="2">
        <v>45474</v>
      </c>
      <c r="E128" s="13" t="s">
        <v>21</v>
      </c>
      <c r="F128" s="15">
        <v>5</v>
      </c>
      <c r="G128" s="1" t="s">
        <v>17</v>
      </c>
      <c r="H128" s="13" t="s">
        <v>21</v>
      </c>
      <c r="I128" s="15">
        <v>0</v>
      </c>
      <c r="J128" s="13" t="s">
        <v>21</v>
      </c>
      <c r="K128" s="15">
        <v>0</v>
      </c>
      <c r="L128" s="19">
        <v>1</v>
      </c>
      <c r="M128" s="15">
        <v>4</v>
      </c>
    </row>
    <row r="129" spans="1:13" x14ac:dyDescent="0.3">
      <c r="A129" s="1" t="s">
        <v>274</v>
      </c>
      <c r="B129" s="1" t="s">
        <v>275</v>
      </c>
      <c r="C129" s="1" t="s">
        <v>15</v>
      </c>
      <c r="D129" s="2">
        <v>45475</v>
      </c>
      <c r="E129" s="13" t="s">
        <v>16</v>
      </c>
      <c r="F129" s="15">
        <v>15</v>
      </c>
      <c r="G129" s="1" t="s">
        <v>22</v>
      </c>
      <c r="H129" s="13" t="s">
        <v>16</v>
      </c>
      <c r="I129" s="15">
        <v>30</v>
      </c>
      <c r="J129" s="13" t="s">
        <v>16</v>
      </c>
      <c r="K129" s="15">
        <v>20</v>
      </c>
      <c r="L129">
        <v>3</v>
      </c>
      <c r="M129" s="15">
        <v>62</v>
      </c>
    </row>
    <row r="130" spans="1:13" x14ac:dyDescent="0.3">
      <c r="A130" s="1" t="s">
        <v>276</v>
      </c>
      <c r="B130" s="1" t="s">
        <v>277</v>
      </c>
      <c r="C130" s="1" t="s">
        <v>25</v>
      </c>
      <c r="D130" s="2">
        <v>45476</v>
      </c>
      <c r="E130" s="13" t="s">
        <v>21</v>
      </c>
      <c r="F130" s="15">
        <v>10</v>
      </c>
      <c r="G130" s="1" t="s">
        <v>17</v>
      </c>
      <c r="H130" s="13" t="s">
        <v>21</v>
      </c>
      <c r="I130" s="15">
        <v>0</v>
      </c>
      <c r="J130" s="13" t="s">
        <v>16</v>
      </c>
      <c r="K130" s="15">
        <v>20</v>
      </c>
      <c r="L130">
        <v>10</v>
      </c>
      <c r="M130" s="15">
        <v>20</v>
      </c>
    </row>
    <row r="131" spans="1:13" x14ac:dyDescent="0.3">
      <c r="A131" s="1" t="s">
        <v>278</v>
      </c>
      <c r="B131" s="1" t="s">
        <v>279</v>
      </c>
      <c r="C131" s="1" t="s">
        <v>20</v>
      </c>
      <c r="D131" s="2">
        <v>45477</v>
      </c>
      <c r="E131" s="13" t="s">
        <v>16</v>
      </c>
      <c r="F131" s="15">
        <v>5</v>
      </c>
      <c r="G131" s="1" t="s">
        <v>26</v>
      </c>
      <c r="H131" s="13" t="s">
        <v>21</v>
      </c>
      <c r="I131" s="15">
        <v>0</v>
      </c>
      <c r="J131" s="13" t="s">
        <v>21</v>
      </c>
      <c r="K131" s="15">
        <v>0</v>
      </c>
      <c r="L131" s="19">
        <v>0</v>
      </c>
      <c r="M131" s="15">
        <v>5</v>
      </c>
    </row>
    <row r="132" spans="1:13" x14ac:dyDescent="0.3">
      <c r="A132" s="1" t="s">
        <v>280</v>
      </c>
      <c r="B132" s="1" t="s">
        <v>281</v>
      </c>
      <c r="C132" s="1" t="s">
        <v>15</v>
      </c>
      <c r="D132" s="2">
        <v>45478</v>
      </c>
      <c r="E132" s="13" t="s">
        <v>21</v>
      </c>
      <c r="F132" s="15">
        <v>15</v>
      </c>
      <c r="G132" s="1" t="s">
        <v>17</v>
      </c>
      <c r="H132" s="13" t="s">
        <v>16</v>
      </c>
      <c r="I132" s="15">
        <v>30</v>
      </c>
      <c r="J132" s="13" t="s">
        <v>16</v>
      </c>
      <c r="K132" s="15">
        <v>20</v>
      </c>
      <c r="L132">
        <v>15</v>
      </c>
      <c r="M132" s="15">
        <v>50</v>
      </c>
    </row>
    <row r="133" spans="1:13" x14ac:dyDescent="0.3">
      <c r="A133" s="1" t="s">
        <v>282</v>
      </c>
      <c r="B133" s="1" t="s">
        <v>283</v>
      </c>
      <c r="C133" s="1" t="s">
        <v>25</v>
      </c>
      <c r="D133" s="2">
        <v>45479</v>
      </c>
      <c r="E133" s="13" t="s">
        <v>16</v>
      </c>
      <c r="F133" s="15">
        <v>10</v>
      </c>
      <c r="G133" s="1" t="s">
        <v>22</v>
      </c>
      <c r="H133" s="13" t="s">
        <v>21</v>
      </c>
      <c r="I133" s="15">
        <v>0</v>
      </c>
      <c r="J133" s="13" t="s">
        <v>16</v>
      </c>
      <c r="K133" s="15">
        <v>20</v>
      </c>
      <c r="L133">
        <v>15</v>
      </c>
      <c r="M133" s="15">
        <v>15</v>
      </c>
    </row>
    <row r="134" spans="1:13" x14ac:dyDescent="0.3">
      <c r="A134" s="1" t="s">
        <v>284</v>
      </c>
      <c r="B134" s="1" t="s">
        <v>285</v>
      </c>
      <c r="C134" s="1" t="s">
        <v>20</v>
      </c>
      <c r="D134" s="2">
        <v>45480</v>
      </c>
      <c r="E134" s="13" t="s">
        <v>21</v>
      </c>
      <c r="F134" s="15">
        <v>5</v>
      </c>
      <c r="G134" s="1" t="s">
        <v>17</v>
      </c>
      <c r="H134" s="13" t="s">
        <v>21</v>
      </c>
      <c r="I134" s="15">
        <v>0</v>
      </c>
      <c r="J134" s="13" t="s">
        <v>21</v>
      </c>
      <c r="K134" s="15">
        <v>0</v>
      </c>
      <c r="L134" s="19">
        <v>1</v>
      </c>
      <c r="M134" s="15">
        <v>4</v>
      </c>
    </row>
    <row r="135" spans="1:13" x14ac:dyDescent="0.3">
      <c r="A135" s="1" t="s">
        <v>286</v>
      </c>
      <c r="B135" s="1" t="s">
        <v>287</v>
      </c>
      <c r="C135" s="1" t="s">
        <v>15</v>
      </c>
      <c r="D135" s="2">
        <v>45481</v>
      </c>
      <c r="E135" s="13" t="s">
        <v>16</v>
      </c>
      <c r="F135" s="15">
        <v>15</v>
      </c>
      <c r="G135" s="1" t="s">
        <v>26</v>
      </c>
      <c r="H135" s="13" t="s">
        <v>16</v>
      </c>
      <c r="I135" s="15">
        <v>30</v>
      </c>
      <c r="J135" s="13" t="s">
        <v>16</v>
      </c>
      <c r="K135" s="15">
        <v>20</v>
      </c>
      <c r="L135">
        <v>7</v>
      </c>
      <c r="M135" s="15">
        <v>58</v>
      </c>
    </row>
    <row r="136" spans="1:13" x14ac:dyDescent="0.3">
      <c r="A136" s="1" t="s">
        <v>288</v>
      </c>
      <c r="B136" s="1" t="s">
        <v>289</v>
      </c>
      <c r="C136" s="1" t="s">
        <v>25</v>
      </c>
      <c r="D136" s="2">
        <v>45482</v>
      </c>
      <c r="E136" s="13" t="s">
        <v>21</v>
      </c>
      <c r="F136" s="15">
        <v>10</v>
      </c>
      <c r="G136" s="1" t="s">
        <v>17</v>
      </c>
      <c r="H136" s="13" t="s">
        <v>21</v>
      </c>
      <c r="I136" s="15">
        <v>0</v>
      </c>
      <c r="J136" s="13" t="s">
        <v>16</v>
      </c>
      <c r="K136" s="15">
        <v>20</v>
      </c>
      <c r="L136">
        <v>10</v>
      </c>
      <c r="M136" s="15">
        <v>20</v>
      </c>
    </row>
    <row r="137" spans="1:13" x14ac:dyDescent="0.3">
      <c r="A137" s="1" t="s">
        <v>290</v>
      </c>
      <c r="B137" s="1" t="s">
        <v>291</v>
      </c>
      <c r="C137" s="1" t="s">
        <v>20</v>
      </c>
      <c r="D137" s="2">
        <v>45483</v>
      </c>
      <c r="E137" s="13" t="s">
        <v>16</v>
      </c>
      <c r="F137" s="15">
        <v>5</v>
      </c>
      <c r="G137" s="1" t="s">
        <v>17</v>
      </c>
      <c r="H137" s="13" t="s">
        <v>21</v>
      </c>
      <c r="I137" s="15">
        <v>0</v>
      </c>
      <c r="J137" s="13" t="s">
        <v>21</v>
      </c>
      <c r="K137" s="15">
        <v>0</v>
      </c>
      <c r="L137" s="19">
        <v>0</v>
      </c>
      <c r="M137" s="15">
        <v>5</v>
      </c>
    </row>
    <row r="138" spans="1:13" x14ac:dyDescent="0.3">
      <c r="A138" s="1" t="s">
        <v>292</v>
      </c>
      <c r="B138" s="1" t="s">
        <v>293</v>
      </c>
      <c r="C138" s="1" t="s">
        <v>15</v>
      </c>
      <c r="D138" s="2">
        <v>45484</v>
      </c>
      <c r="E138" s="13" t="s">
        <v>21</v>
      </c>
      <c r="F138" s="15">
        <v>15</v>
      </c>
      <c r="G138" s="1" t="s">
        <v>26</v>
      </c>
      <c r="H138" s="13" t="s">
        <v>16</v>
      </c>
      <c r="I138" s="15">
        <v>30</v>
      </c>
      <c r="J138" s="13" t="s">
        <v>16</v>
      </c>
      <c r="K138" s="15">
        <v>20</v>
      </c>
      <c r="L138">
        <v>7</v>
      </c>
      <c r="M138" s="15">
        <v>58</v>
      </c>
    </row>
    <row r="139" spans="1:13" x14ac:dyDescent="0.3">
      <c r="A139" s="1" t="s">
        <v>294</v>
      </c>
      <c r="B139" s="1" t="s">
        <v>295</v>
      </c>
      <c r="C139" s="1" t="s">
        <v>25</v>
      </c>
      <c r="D139" s="2">
        <v>45485</v>
      </c>
      <c r="E139" s="13" t="s">
        <v>16</v>
      </c>
      <c r="F139" s="15">
        <v>10</v>
      </c>
      <c r="G139" s="1" t="s">
        <v>22</v>
      </c>
      <c r="H139" s="13" t="s">
        <v>21</v>
      </c>
      <c r="I139" s="15">
        <v>0</v>
      </c>
      <c r="J139" s="13" t="s">
        <v>16</v>
      </c>
      <c r="K139" s="15">
        <v>20</v>
      </c>
      <c r="L139">
        <v>10</v>
      </c>
      <c r="M139" s="15">
        <v>20</v>
      </c>
    </row>
    <row r="140" spans="1:13" x14ac:dyDescent="0.3">
      <c r="A140" s="1" t="s">
        <v>296</v>
      </c>
      <c r="B140" s="1" t="s">
        <v>297</v>
      </c>
      <c r="C140" s="1" t="s">
        <v>20</v>
      </c>
      <c r="D140" s="2">
        <v>45486</v>
      </c>
      <c r="E140" s="13" t="s">
        <v>21</v>
      </c>
      <c r="F140" s="15">
        <v>5</v>
      </c>
      <c r="G140" s="1" t="s">
        <v>26</v>
      </c>
      <c r="H140" s="13" t="s">
        <v>21</v>
      </c>
      <c r="I140" s="15">
        <v>0</v>
      </c>
      <c r="J140" s="13" t="s">
        <v>21</v>
      </c>
      <c r="K140" s="15">
        <v>0</v>
      </c>
      <c r="L140" s="19">
        <v>1</v>
      </c>
      <c r="M140" s="15">
        <v>4</v>
      </c>
    </row>
    <row r="141" spans="1:13" x14ac:dyDescent="0.3">
      <c r="A141" s="1" t="s">
        <v>298</v>
      </c>
      <c r="B141" s="1" t="s">
        <v>299</v>
      </c>
      <c r="C141" s="1" t="s">
        <v>15</v>
      </c>
      <c r="D141" s="2">
        <v>45487</v>
      </c>
      <c r="E141" s="13" t="s">
        <v>16</v>
      </c>
      <c r="F141" s="15">
        <v>15</v>
      </c>
      <c r="G141" s="1" t="s">
        <v>17</v>
      </c>
      <c r="H141" s="13" t="s">
        <v>16</v>
      </c>
      <c r="I141" s="15">
        <v>30</v>
      </c>
      <c r="J141" s="13" t="s">
        <v>16</v>
      </c>
      <c r="K141" s="15">
        <v>20</v>
      </c>
      <c r="L141">
        <v>15</v>
      </c>
      <c r="M141" s="15">
        <v>50</v>
      </c>
    </row>
    <row r="142" spans="1:13" x14ac:dyDescent="0.3">
      <c r="A142" s="1" t="s">
        <v>300</v>
      </c>
      <c r="B142" s="1" t="s">
        <v>301</v>
      </c>
      <c r="C142" s="1" t="s">
        <v>25</v>
      </c>
      <c r="D142" s="2">
        <v>45488</v>
      </c>
      <c r="E142" s="13" t="s">
        <v>21</v>
      </c>
      <c r="F142" s="15">
        <v>10</v>
      </c>
      <c r="G142" s="1" t="s">
        <v>17</v>
      </c>
      <c r="H142" s="13" t="s">
        <v>21</v>
      </c>
      <c r="I142" s="15">
        <v>0</v>
      </c>
      <c r="J142" s="13" t="s">
        <v>16</v>
      </c>
      <c r="K142" s="15">
        <v>20</v>
      </c>
      <c r="L142">
        <v>5</v>
      </c>
      <c r="M142" s="15">
        <v>25</v>
      </c>
    </row>
    <row r="143" spans="1:13" x14ac:dyDescent="0.3">
      <c r="A143" s="1" t="s">
        <v>302</v>
      </c>
      <c r="B143" s="1" t="s">
        <v>303</v>
      </c>
      <c r="C143" s="1" t="s">
        <v>20</v>
      </c>
      <c r="D143" s="2">
        <v>45489</v>
      </c>
      <c r="E143" s="13" t="s">
        <v>16</v>
      </c>
      <c r="F143" s="15">
        <v>5</v>
      </c>
      <c r="G143" s="1" t="s">
        <v>22</v>
      </c>
      <c r="H143" s="13" t="s">
        <v>21</v>
      </c>
      <c r="I143" s="15">
        <v>0</v>
      </c>
      <c r="J143" s="13" t="s">
        <v>21</v>
      </c>
      <c r="K143" s="15">
        <v>0</v>
      </c>
      <c r="L143" s="19">
        <v>0</v>
      </c>
      <c r="M143" s="15">
        <v>5</v>
      </c>
    </row>
    <row r="144" spans="1:13" x14ac:dyDescent="0.3">
      <c r="A144" s="1" t="s">
        <v>304</v>
      </c>
      <c r="B144" s="1" t="s">
        <v>305</v>
      </c>
      <c r="C144" s="1" t="s">
        <v>15</v>
      </c>
      <c r="D144" s="2">
        <v>45490</v>
      </c>
      <c r="E144" s="13" t="s">
        <v>21</v>
      </c>
      <c r="F144" s="15">
        <v>15</v>
      </c>
      <c r="G144" s="1" t="s">
        <v>26</v>
      </c>
      <c r="H144" s="13" t="s">
        <v>16</v>
      </c>
      <c r="I144" s="15">
        <v>30</v>
      </c>
      <c r="J144" s="13" t="s">
        <v>16</v>
      </c>
      <c r="K144" s="15">
        <v>20</v>
      </c>
      <c r="L144">
        <v>20</v>
      </c>
      <c r="M144" s="15">
        <v>45</v>
      </c>
    </row>
    <row r="145" spans="1:13" x14ac:dyDescent="0.3">
      <c r="A145" s="1" t="s">
        <v>306</v>
      </c>
      <c r="B145" s="1" t="s">
        <v>307</v>
      </c>
      <c r="C145" s="1" t="s">
        <v>25</v>
      </c>
      <c r="D145" s="2">
        <v>45491</v>
      </c>
      <c r="E145" s="13" t="s">
        <v>16</v>
      </c>
      <c r="F145" s="15">
        <v>10</v>
      </c>
      <c r="G145" s="1" t="s">
        <v>26</v>
      </c>
      <c r="H145" s="13" t="s">
        <v>21</v>
      </c>
      <c r="I145" s="15">
        <v>0</v>
      </c>
      <c r="J145" s="13" t="s">
        <v>16</v>
      </c>
      <c r="K145" s="15">
        <v>20</v>
      </c>
      <c r="L145">
        <v>12</v>
      </c>
      <c r="M145" s="15">
        <v>18</v>
      </c>
    </row>
    <row r="146" spans="1:13" x14ac:dyDescent="0.3">
      <c r="A146" s="1" t="s">
        <v>308</v>
      </c>
      <c r="B146" s="1" t="s">
        <v>309</v>
      </c>
      <c r="C146" s="1" t="s">
        <v>20</v>
      </c>
      <c r="D146" s="2">
        <v>45492</v>
      </c>
      <c r="E146" s="13" t="s">
        <v>21</v>
      </c>
      <c r="F146" s="15">
        <v>5</v>
      </c>
      <c r="G146" s="1" t="s">
        <v>17</v>
      </c>
      <c r="H146" s="13" t="s">
        <v>21</v>
      </c>
      <c r="I146" s="15">
        <v>0</v>
      </c>
      <c r="J146" s="13" t="s">
        <v>21</v>
      </c>
      <c r="K146" s="15">
        <v>0</v>
      </c>
      <c r="L146" s="19">
        <v>2</v>
      </c>
      <c r="M146" s="15">
        <v>3</v>
      </c>
    </row>
    <row r="147" spans="1:13" x14ac:dyDescent="0.3">
      <c r="A147" s="1" t="s">
        <v>310</v>
      </c>
      <c r="B147" s="1" t="s">
        <v>311</v>
      </c>
      <c r="C147" s="1" t="s">
        <v>15</v>
      </c>
      <c r="D147" s="2">
        <v>45493</v>
      </c>
      <c r="E147" s="13" t="s">
        <v>16</v>
      </c>
      <c r="F147" s="15">
        <v>15</v>
      </c>
      <c r="G147" s="1" t="s">
        <v>22</v>
      </c>
      <c r="H147" s="13" t="s">
        <v>16</v>
      </c>
      <c r="I147" s="15">
        <v>30</v>
      </c>
      <c r="J147" s="13" t="s">
        <v>16</v>
      </c>
      <c r="K147" s="15">
        <v>20</v>
      </c>
      <c r="L147">
        <v>5</v>
      </c>
      <c r="M147" s="15">
        <v>60</v>
      </c>
    </row>
    <row r="148" spans="1:13" x14ac:dyDescent="0.3">
      <c r="A148" s="1" t="s">
        <v>312</v>
      </c>
      <c r="B148" s="1" t="s">
        <v>313</v>
      </c>
      <c r="C148" s="1" t="s">
        <v>25</v>
      </c>
      <c r="D148" s="2">
        <v>45494</v>
      </c>
      <c r="E148" s="13" t="s">
        <v>21</v>
      </c>
      <c r="F148" s="15">
        <v>10</v>
      </c>
      <c r="G148" s="1" t="s">
        <v>17</v>
      </c>
      <c r="H148" s="13" t="s">
        <v>21</v>
      </c>
      <c r="I148" s="15">
        <v>0</v>
      </c>
      <c r="J148" s="13" t="s">
        <v>16</v>
      </c>
      <c r="K148" s="15">
        <v>20</v>
      </c>
      <c r="L148">
        <v>10</v>
      </c>
      <c r="M148" s="15">
        <v>20</v>
      </c>
    </row>
    <row r="149" spans="1:13" x14ac:dyDescent="0.3">
      <c r="A149" s="1" t="s">
        <v>314</v>
      </c>
      <c r="B149" s="1" t="s">
        <v>315</v>
      </c>
      <c r="C149" s="1" t="s">
        <v>20</v>
      </c>
      <c r="D149" s="2">
        <v>45495</v>
      </c>
      <c r="E149" s="13" t="s">
        <v>16</v>
      </c>
      <c r="F149" s="15">
        <v>5</v>
      </c>
      <c r="G149" s="1" t="s">
        <v>26</v>
      </c>
      <c r="H149" s="13" t="s">
        <v>21</v>
      </c>
      <c r="I149" s="15">
        <v>0</v>
      </c>
      <c r="J149" s="13" t="s">
        <v>21</v>
      </c>
      <c r="K149" s="15">
        <v>0</v>
      </c>
      <c r="L149" s="19">
        <v>0</v>
      </c>
      <c r="M149" s="15">
        <v>5</v>
      </c>
    </row>
    <row r="150" spans="1:13" x14ac:dyDescent="0.3">
      <c r="A150" s="1" t="s">
        <v>316</v>
      </c>
      <c r="B150" s="1" t="s">
        <v>317</v>
      </c>
      <c r="C150" s="1" t="s">
        <v>15</v>
      </c>
      <c r="D150" s="2">
        <v>45496</v>
      </c>
      <c r="E150" s="13" t="s">
        <v>21</v>
      </c>
      <c r="F150" s="15">
        <v>15</v>
      </c>
      <c r="G150" s="1" t="s">
        <v>17</v>
      </c>
      <c r="H150" s="13" t="s">
        <v>16</v>
      </c>
      <c r="I150" s="15">
        <v>30</v>
      </c>
      <c r="J150" s="13" t="s">
        <v>16</v>
      </c>
      <c r="K150" s="15">
        <v>20</v>
      </c>
      <c r="L150">
        <v>3</v>
      </c>
      <c r="M150" s="15">
        <v>62</v>
      </c>
    </row>
    <row r="151" spans="1:13" x14ac:dyDescent="0.3">
      <c r="A151" s="1" t="s">
        <v>318</v>
      </c>
      <c r="B151" s="1" t="s">
        <v>319</v>
      </c>
      <c r="C151" s="1" t="s">
        <v>25</v>
      </c>
      <c r="D151" s="2">
        <v>45497</v>
      </c>
      <c r="E151" s="13" t="s">
        <v>16</v>
      </c>
      <c r="F151" s="15">
        <v>10</v>
      </c>
      <c r="G151" s="1" t="s">
        <v>22</v>
      </c>
      <c r="H151" s="13" t="s">
        <v>21</v>
      </c>
      <c r="I151" s="15">
        <v>0</v>
      </c>
      <c r="J151" s="13" t="s">
        <v>16</v>
      </c>
      <c r="K151" s="15">
        <v>20</v>
      </c>
      <c r="L151">
        <v>15</v>
      </c>
      <c r="M151" s="15">
        <v>15</v>
      </c>
    </row>
    <row r="152" spans="1:13" x14ac:dyDescent="0.3">
      <c r="A152" s="1" t="s">
        <v>320</v>
      </c>
      <c r="B152" s="1" t="s">
        <v>321</v>
      </c>
      <c r="C152" s="1" t="s">
        <v>20</v>
      </c>
      <c r="D152" s="2">
        <v>45498</v>
      </c>
      <c r="E152" s="13" t="s">
        <v>21</v>
      </c>
      <c r="F152" s="15">
        <v>5</v>
      </c>
      <c r="G152" s="1" t="s">
        <v>17</v>
      </c>
      <c r="H152" s="13" t="s">
        <v>21</v>
      </c>
      <c r="I152" s="15">
        <v>0</v>
      </c>
      <c r="J152" s="13" t="s">
        <v>21</v>
      </c>
      <c r="K152" s="15">
        <v>0</v>
      </c>
      <c r="L152" s="19">
        <v>1</v>
      </c>
      <c r="M152" s="15">
        <v>4</v>
      </c>
    </row>
    <row r="153" spans="1:13" x14ac:dyDescent="0.3">
      <c r="A153" s="1" t="s">
        <v>322</v>
      </c>
      <c r="B153" s="1" t="s">
        <v>323</v>
      </c>
      <c r="C153" s="1" t="s">
        <v>15</v>
      </c>
      <c r="D153" s="2">
        <v>45499</v>
      </c>
      <c r="E153" s="13" t="s">
        <v>16</v>
      </c>
      <c r="F153" s="15">
        <v>15</v>
      </c>
      <c r="G153" s="1" t="s">
        <v>26</v>
      </c>
      <c r="H153" s="13" t="s">
        <v>16</v>
      </c>
      <c r="I153" s="15">
        <v>30</v>
      </c>
      <c r="J153" s="13" t="s">
        <v>16</v>
      </c>
      <c r="K153" s="15">
        <v>20</v>
      </c>
      <c r="L153">
        <v>7</v>
      </c>
      <c r="M153" s="15">
        <v>58</v>
      </c>
    </row>
    <row r="154" spans="1:13" x14ac:dyDescent="0.3">
      <c r="A154" s="1" t="s">
        <v>324</v>
      </c>
      <c r="B154" s="1" t="s">
        <v>325</v>
      </c>
      <c r="C154" s="1" t="s">
        <v>25</v>
      </c>
      <c r="D154" s="2">
        <v>45500</v>
      </c>
      <c r="E154" s="13" t="s">
        <v>21</v>
      </c>
      <c r="F154" s="15">
        <v>10</v>
      </c>
      <c r="G154" s="1" t="s">
        <v>17</v>
      </c>
      <c r="H154" s="13" t="s">
        <v>21</v>
      </c>
      <c r="I154" s="15">
        <v>0</v>
      </c>
      <c r="J154" s="13" t="s">
        <v>16</v>
      </c>
      <c r="K154" s="15">
        <v>20</v>
      </c>
      <c r="L154">
        <v>10</v>
      </c>
      <c r="M154" s="15">
        <v>20</v>
      </c>
    </row>
    <row r="155" spans="1:13" x14ac:dyDescent="0.3">
      <c r="A155" s="1" t="s">
        <v>326</v>
      </c>
      <c r="B155" s="1" t="s">
        <v>327</v>
      </c>
      <c r="C155" s="1" t="s">
        <v>20</v>
      </c>
      <c r="D155" s="2">
        <v>45501</v>
      </c>
      <c r="E155" s="13" t="s">
        <v>16</v>
      </c>
      <c r="F155" s="15">
        <v>5</v>
      </c>
      <c r="G155" s="1" t="s">
        <v>22</v>
      </c>
      <c r="H155" s="13" t="s">
        <v>21</v>
      </c>
      <c r="I155" s="15">
        <v>0</v>
      </c>
      <c r="J155" s="13" t="s">
        <v>21</v>
      </c>
      <c r="K155" s="15">
        <v>0</v>
      </c>
      <c r="L155" s="19">
        <v>0</v>
      </c>
      <c r="M155" s="15">
        <v>5</v>
      </c>
    </row>
    <row r="156" spans="1:13" x14ac:dyDescent="0.3">
      <c r="A156" s="1" t="s">
        <v>328</v>
      </c>
      <c r="B156" s="1" t="s">
        <v>329</v>
      </c>
      <c r="C156" s="1" t="s">
        <v>15</v>
      </c>
      <c r="D156" s="2">
        <v>45502</v>
      </c>
      <c r="E156" s="13" t="s">
        <v>21</v>
      </c>
      <c r="F156" s="15">
        <v>15</v>
      </c>
      <c r="G156" s="1" t="s">
        <v>17</v>
      </c>
      <c r="H156" s="13" t="s">
        <v>16</v>
      </c>
      <c r="I156" s="15">
        <v>30</v>
      </c>
      <c r="J156" s="13" t="s">
        <v>16</v>
      </c>
      <c r="K156" s="15">
        <v>20</v>
      </c>
      <c r="L156">
        <v>20</v>
      </c>
      <c r="M156" s="15">
        <v>45</v>
      </c>
    </row>
    <row r="157" spans="1:13" x14ac:dyDescent="0.3">
      <c r="A157" s="1" t="s">
        <v>330</v>
      </c>
      <c r="B157" s="1" t="s">
        <v>331</v>
      </c>
      <c r="C157" s="1" t="s">
        <v>25</v>
      </c>
      <c r="D157" s="2">
        <v>45503</v>
      </c>
      <c r="E157" s="13" t="s">
        <v>16</v>
      </c>
      <c r="F157" s="15">
        <v>10</v>
      </c>
      <c r="G157" s="1" t="s">
        <v>26</v>
      </c>
      <c r="H157" s="13" t="s">
        <v>21</v>
      </c>
      <c r="I157" s="15">
        <v>0</v>
      </c>
      <c r="J157" s="13" t="s">
        <v>16</v>
      </c>
      <c r="K157" s="15">
        <v>20</v>
      </c>
      <c r="L157">
        <v>15</v>
      </c>
      <c r="M157" s="15">
        <v>15</v>
      </c>
    </row>
    <row r="158" spans="1:13" x14ac:dyDescent="0.3">
      <c r="A158" s="1" t="s">
        <v>332</v>
      </c>
      <c r="B158" s="1" t="s">
        <v>333</v>
      </c>
      <c r="C158" s="1" t="s">
        <v>20</v>
      </c>
      <c r="D158" s="2">
        <v>45504</v>
      </c>
      <c r="E158" s="13" t="s">
        <v>21</v>
      </c>
      <c r="F158" s="15">
        <v>5</v>
      </c>
      <c r="G158" s="1" t="s">
        <v>17</v>
      </c>
      <c r="H158" s="13" t="s">
        <v>21</v>
      </c>
      <c r="I158" s="15">
        <v>0</v>
      </c>
      <c r="J158" s="13" t="s">
        <v>21</v>
      </c>
      <c r="K158" s="15">
        <v>0</v>
      </c>
      <c r="L158" s="19">
        <v>1</v>
      </c>
      <c r="M158" s="15">
        <v>4</v>
      </c>
    </row>
    <row r="159" spans="1:13" x14ac:dyDescent="0.3">
      <c r="A159" s="1" t="s">
        <v>334</v>
      </c>
      <c r="B159" s="1" t="s">
        <v>335</v>
      </c>
      <c r="C159" s="1" t="s">
        <v>15</v>
      </c>
      <c r="D159" s="2">
        <v>45505</v>
      </c>
      <c r="E159" s="13" t="s">
        <v>16</v>
      </c>
      <c r="F159" s="15">
        <v>15</v>
      </c>
      <c r="G159" s="1" t="s">
        <v>22</v>
      </c>
      <c r="H159" s="13" t="s">
        <v>16</v>
      </c>
      <c r="I159" s="15">
        <v>30</v>
      </c>
      <c r="J159" s="13" t="s">
        <v>16</v>
      </c>
      <c r="K159" s="15">
        <v>20</v>
      </c>
      <c r="L159">
        <v>3</v>
      </c>
      <c r="M159" s="15">
        <v>62</v>
      </c>
    </row>
    <row r="160" spans="1:13" x14ac:dyDescent="0.3">
      <c r="A160" s="1" t="s">
        <v>336</v>
      </c>
      <c r="B160" s="1" t="s">
        <v>337</v>
      </c>
      <c r="C160" s="1" t="s">
        <v>25</v>
      </c>
      <c r="D160" s="2">
        <v>45506</v>
      </c>
      <c r="E160" s="13" t="s">
        <v>21</v>
      </c>
      <c r="F160" s="15">
        <v>10</v>
      </c>
      <c r="G160" s="1" t="s">
        <v>17</v>
      </c>
      <c r="H160" s="13" t="s">
        <v>21</v>
      </c>
      <c r="I160" s="15">
        <v>0</v>
      </c>
      <c r="J160" s="13" t="s">
        <v>16</v>
      </c>
      <c r="K160" s="15">
        <v>20</v>
      </c>
      <c r="L160">
        <v>10</v>
      </c>
      <c r="M160" s="15">
        <v>20</v>
      </c>
    </row>
    <row r="161" spans="1:13" x14ac:dyDescent="0.3">
      <c r="A161" s="1" t="s">
        <v>338</v>
      </c>
      <c r="B161" s="1" t="s">
        <v>339</v>
      </c>
      <c r="C161" s="1" t="s">
        <v>20</v>
      </c>
      <c r="D161" s="2">
        <v>45507</v>
      </c>
      <c r="E161" s="13" t="s">
        <v>16</v>
      </c>
      <c r="F161" s="15">
        <v>5</v>
      </c>
      <c r="G161" s="1" t="s">
        <v>26</v>
      </c>
      <c r="H161" s="13" t="s">
        <v>21</v>
      </c>
      <c r="I161" s="15">
        <v>0</v>
      </c>
      <c r="J161" s="13" t="s">
        <v>21</v>
      </c>
      <c r="K161" s="15">
        <v>0</v>
      </c>
      <c r="L161" s="19">
        <v>0</v>
      </c>
      <c r="M161" s="15">
        <v>5</v>
      </c>
    </row>
    <row r="162" spans="1:13" x14ac:dyDescent="0.3">
      <c r="A162" s="1" t="s">
        <v>340</v>
      </c>
      <c r="B162" s="1" t="s">
        <v>138</v>
      </c>
      <c r="C162" s="1" t="s">
        <v>15</v>
      </c>
      <c r="D162" s="2">
        <v>45508</v>
      </c>
      <c r="E162" s="13" t="s">
        <v>21</v>
      </c>
      <c r="F162" s="15">
        <v>15</v>
      </c>
      <c r="G162" s="1" t="s">
        <v>17</v>
      </c>
      <c r="H162" s="13" t="s">
        <v>16</v>
      </c>
      <c r="I162" s="15">
        <v>30</v>
      </c>
      <c r="J162" s="13" t="s">
        <v>16</v>
      </c>
      <c r="K162" s="15">
        <v>20</v>
      </c>
      <c r="L162">
        <v>15</v>
      </c>
      <c r="M162" s="15">
        <v>50</v>
      </c>
    </row>
    <row r="163" spans="1:13" x14ac:dyDescent="0.3">
      <c r="A163" s="1" t="s">
        <v>341</v>
      </c>
      <c r="B163" s="1" t="s">
        <v>342</v>
      </c>
      <c r="C163" s="1" t="s">
        <v>25</v>
      </c>
      <c r="D163" s="2">
        <v>45509</v>
      </c>
      <c r="E163" s="13" t="s">
        <v>16</v>
      </c>
      <c r="F163" s="15">
        <v>10</v>
      </c>
      <c r="G163" s="1" t="s">
        <v>22</v>
      </c>
      <c r="H163" s="13" t="s">
        <v>21</v>
      </c>
      <c r="I163" s="15">
        <v>0</v>
      </c>
      <c r="J163" s="13" t="s">
        <v>16</v>
      </c>
      <c r="K163" s="15">
        <v>20</v>
      </c>
      <c r="L163">
        <v>15</v>
      </c>
      <c r="M163" s="15">
        <v>15</v>
      </c>
    </row>
    <row r="164" spans="1:13" x14ac:dyDescent="0.3">
      <c r="A164" s="1" t="s">
        <v>343</v>
      </c>
      <c r="B164" s="1" t="s">
        <v>344</v>
      </c>
      <c r="C164" s="1" t="s">
        <v>20</v>
      </c>
      <c r="D164" s="2">
        <v>45510</v>
      </c>
      <c r="E164" s="13" t="s">
        <v>21</v>
      </c>
      <c r="F164" s="15">
        <v>5</v>
      </c>
      <c r="G164" s="1" t="s">
        <v>17</v>
      </c>
      <c r="H164" s="13" t="s">
        <v>21</v>
      </c>
      <c r="I164" s="15">
        <v>0</v>
      </c>
      <c r="J164" s="13" t="s">
        <v>21</v>
      </c>
      <c r="K164" s="15">
        <v>0</v>
      </c>
      <c r="L164" s="19">
        <v>1</v>
      </c>
      <c r="M164" s="15">
        <v>4</v>
      </c>
    </row>
    <row r="165" spans="1:13" x14ac:dyDescent="0.3">
      <c r="A165" s="1" t="s">
        <v>345</v>
      </c>
      <c r="B165" s="1" t="s">
        <v>346</v>
      </c>
      <c r="C165" s="1" t="s">
        <v>15</v>
      </c>
      <c r="D165" s="2">
        <v>45511</v>
      </c>
      <c r="E165" s="13" t="s">
        <v>16</v>
      </c>
      <c r="F165" s="15">
        <v>15</v>
      </c>
      <c r="G165" s="1" t="s">
        <v>26</v>
      </c>
      <c r="H165" s="13" t="s">
        <v>16</v>
      </c>
      <c r="I165" s="15">
        <v>30</v>
      </c>
      <c r="J165" s="13" t="s">
        <v>16</v>
      </c>
      <c r="K165" s="15">
        <v>20</v>
      </c>
      <c r="L165">
        <v>7</v>
      </c>
      <c r="M165" s="15">
        <v>58</v>
      </c>
    </row>
    <row r="166" spans="1:13" x14ac:dyDescent="0.3">
      <c r="A166" s="1" t="s">
        <v>347</v>
      </c>
      <c r="B166" s="1" t="s">
        <v>348</v>
      </c>
      <c r="C166" s="1" t="s">
        <v>25</v>
      </c>
      <c r="D166" s="2">
        <v>45512</v>
      </c>
      <c r="E166" s="13" t="s">
        <v>21</v>
      </c>
      <c r="F166" s="15">
        <v>10</v>
      </c>
      <c r="G166" s="1" t="s">
        <v>17</v>
      </c>
      <c r="H166" s="13" t="s">
        <v>21</v>
      </c>
      <c r="I166" s="15">
        <v>0</v>
      </c>
      <c r="J166" s="13" t="s">
        <v>16</v>
      </c>
      <c r="K166" s="15">
        <v>20</v>
      </c>
      <c r="L166">
        <v>10</v>
      </c>
      <c r="M166" s="15">
        <v>20</v>
      </c>
    </row>
    <row r="167" spans="1:13" x14ac:dyDescent="0.3">
      <c r="A167" s="1" t="s">
        <v>349</v>
      </c>
      <c r="B167" s="1" t="s">
        <v>350</v>
      </c>
      <c r="C167" s="1" t="s">
        <v>20</v>
      </c>
      <c r="D167" s="2">
        <v>45513</v>
      </c>
      <c r="E167" s="13" t="s">
        <v>16</v>
      </c>
      <c r="F167" s="15">
        <v>5</v>
      </c>
      <c r="G167" s="1" t="s">
        <v>22</v>
      </c>
      <c r="H167" s="13" t="s">
        <v>21</v>
      </c>
      <c r="I167" s="15">
        <v>0</v>
      </c>
      <c r="J167" s="13" t="s">
        <v>21</v>
      </c>
      <c r="K167" s="15">
        <v>0</v>
      </c>
      <c r="L167" s="19">
        <v>0</v>
      </c>
      <c r="M167" s="15">
        <v>5</v>
      </c>
    </row>
    <row r="168" spans="1:13" x14ac:dyDescent="0.3">
      <c r="A168" s="1" t="s">
        <v>351</v>
      </c>
      <c r="B168" s="1" t="s">
        <v>202</v>
      </c>
      <c r="C168" s="1" t="s">
        <v>15</v>
      </c>
      <c r="D168" s="2">
        <v>45514</v>
      </c>
      <c r="E168" s="13" t="s">
        <v>21</v>
      </c>
      <c r="F168" s="15">
        <v>15</v>
      </c>
      <c r="G168" s="1" t="s">
        <v>17</v>
      </c>
      <c r="H168" s="13" t="s">
        <v>16</v>
      </c>
      <c r="I168" s="15">
        <v>30</v>
      </c>
      <c r="J168" s="13" t="s">
        <v>16</v>
      </c>
      <c r="K168" s="15">
        <v>20</v>
      </c>
      <c r="L168">
        <v>20</v>
      </c>
      <c r="M168" s="15">
        <v>45</v>
      </c>
    </row>
    <row r="169" spans="1:13" x14ac:dyDescent="0.3">
      <c r="A169" s="1" t="s">
        <v>352</v>
      </c>
      <c r="B169" s="1" t="s">
        <v>353</v>
      </c>
      <c r="C169" s="1" t="s">
        <v>25</v>
      </c>
      <c r="D169" s="2">
        <v>45515</v>
      </c>
      <c r="E169" s="13" t="s">
        <v>16</v>
      </c>
      <c r="F169" s="15">
        <v>10</v>
      </c>
      <c r="G169" s="1" t="s">
        <v>26</v>
      </c>
      <c r="H169" s="13" t="s">
        <v>21</v>
      </c>
      <c r="I169" s="15">
        <v>0</v>
      </c>
      <c r="J169" s="13" t="s">
        <v>16</v>
      </c>
      <c r="K169" s="15">
        <v>20</v>
      </c>
      <c r="L169">
        <v>15</v>
      </c>
      <c r="M169" s="15">
        <v>15</v>
      </c>
    </row>
    <row r="170" spans="1:13" x14ac:dyDescent="0.3">
      <c r="A170" s="1" t="s">
        <v>354</v>
      </c>
      <c r="B170" s="1" t="s">
        <v>355</v>
      </c>
      <c r="C170" s="1" t="s">
        <v>20</v>
      </c>
      <c r="D170" s="2">
        <v>45516</v>
      </c>
      <c r="E170" s="13" t="s">
        <v>21</v>
      </c>
      <c r="F170" s="15">
        <v>5</v>
      </c>
      <c r="G170" s="1" t="s">
        <v>17</v>
      </c>
      <c r="H170" s="13" t="s">
        <v>21</v>
      </c>
      <c r="I170" s="15">
        <v>0</v>
      </c>
      <c r="J170" s="13" t="s">
        <v>21</v>
      </c>
      <c r="K170" s="15">
        <v>0</v>
      </c>
      <c r="L170" s="19">
        <v>1</v>
      </c>
      <c r="M170" s="15">
        <v>4</v>
      </c>
    </row>
    <row r="171" spans="1:13" x14ac:dyDescent="0.3">
      <c r="A171" s="1" t="s">
        <v>356</v>
      </c>
      <c r="B171" s="1" t="s">
        <v>357</v>
      </c>
      <c r="C171" s="1" t="s">
        <v>15</v>
      </c>
      <c r="D171" s="2">
        <v>45517</v>
      </c>
      <c r="E171" s="13" t="s">
        <v>16</v>
      </c>
      <c r="F171" s="15">
        <v>15</v>
      </c>
      <c r="G171" s="1" t="s">
        <v>22</v>
      </c>
      <c r="H171" s="13" t="s">
        <v>16</v>
      </c>
      <c r="I171" s="15">
        <v>30</v>
      </c>
      <c r="J171" s="13" t="s">
        <v>16</v>
      </c>
      <c r="K171" s="15">
        <v>20</v>
      </c>
      <c r="L171">
        <v>5</v>
      </c>
      <c r="M171" s="15">
        <v>60</v>
      </c>
    </row>
    <row r="172" spans="1:13" x14ac:dyDescent="0.3">
      <c r="A172" s="1" t="s">
        <v>358</v>
      </c>
      <c r="B172" s="1" t="s">
        <v>359</v>
      </c>
      <c r="C172" s="1" t="s">
        <v>25</v>
      </c>
      <c r="D172" s="2">
        <v>45518</v>
      </c>
      <c r="E172" s="13" t="s">
        <v>21</v>
      </c>
      <c r="F172" s="15">
        <v>10</v>
      </c>
      <c r="G172" s="1" t="s">
        <v>17</v>
      </c>
      <c r="H172" s="13" t="s">
        <v>21</v>
      </c>
      <c r="I172" s="15">
        <v>0</v>
      </c>
      <c r="J172" s="13" t="s">
        <v>16</v>
      </c>
      <c r="K172" s="15">
        <v>20</v>
      </c>
      <c r="L172">
        <v>10</v>
      </c>
      <c r="M172" s="15">
        <v>20</v>
      </c>
    </row>
    <row r="173" spans="1:13" x14ac:dyDescent="0.3">
      <c r="A173" s="1" t="s">
        <v>360</v>
      </c>
      <c r="B173" s="1" t="s">
        <v>361</v>
      </c>
      <c r="C173" s="1" t="s">
        <v>20</v>
      </c>
      <c r="D173" s="2">
        <v>45519</v>
      </c>
      <c r="E173" s="13" t="s">
        <v>16</v>
      </c>
      <c r="F173" s="15">
        <v>5</v>
      </c>
      <c r="G173" s="1" t="s">
        <v>26</v>
      </c>
      <c r="H173" s="13" t="s">
        <v>21</v>
      </c>
      <c r="I173" s="15">
        <v>0</v>
      </c>
      <c r="J173" s="13" t="s">
        <v>21</v>
      </c>
      <c r="K173" s="15">
        <v>0</v>
      </c>
      <c r="L173" s="19">
        <v>0</v>
      </c>
      <c r="M173" s="15">
        <v>5</v>
      </c>
    </row>
    <row r="174" spans="1:13" x14ac:dyDescent="0.3">
      <c r="A174" s="1" t="s">
        <v>362</v>
      </c>
      <c r="B174" s="1" t="s">
        <v>363</v>
      </c>
      <c r="C174" s="1" t="s">
        <v>15</v>
      </c>
      <c r="D174" s="2">
        <v>45520</v>
      </c>
      <c r="E174" s="13" t="s">
        <v>21</v>
      </c>
      <c r="F174" s="15">
        <v>15</v>
      </c>
      <c r="G174" s="1" t="s">
        <v>17</v>
      </c>
      <c r="H174" s="13" t="s">
        <v>16</v>
      </c>
      <c r="I174" s="15">
        <v>30</v>
      </c>
      <c r="J174" s="13" t="s">
        <v>16</v>
      </c>
      <c r="K174" s="15">
        <v>20</v>
      </c>
      <c r="L174">
        <v>3</v>
      </c>
      <c r="M174" s="15">
        <v>62</v>
      </c>
    </row>
    <row r="175" spans="1:13" x14ac:dyDescent="0.3">
      <c r="A175" s="1" t="s">
        <v>364</v>
      </c>
      <c r="B175" s="1" t="s">
        <v>365</v>
      </c>
      <c r="C175" s="1" t="s">
        <v>25</v>
      </c>
      <c r="D175" s="2">
        <v>45521</v>
      </c>
      <c r="E175" s="13" t="s">
        <v>16</v>
      </c>
      <c r="F175" s="15">
        <v>10</v>
      </c>
      <c r="G175" s="1" t="s">
        <v>22</v>
      </c>
      <c r="H175" s="13" t="s">
        <v>21</v>
      </c>
      <c r="I175" s="15">
        <v>0</v>
      </c>
      <c r="J175" s="13" t="s">
        <v>16</v>
      </c>
      <c r="K175" s="15">
        <v>20</v>
      </c>
      <c r="L175">
        <v>15</v>
      </c>
      <c r="M175" s="15">
        <v>15</v>
      </c>
    </row>
    <row r="176" spans="1:13" x14ac:dyDescent="0.3">
      <c r="A176" s="1" t="s">
        <v>366</v>
      </c>
      <c r="B176" s="1" t="s">
        <v>367</v>
      </c>
      <c r="C176" s="1" t="s">
        <v>20</v>
      </c>
      <c r="D176" s="2">
        <v>45522</v>
      </c>
      <c r="E176" s="13" t="s">
        <v>21</v>
      </c>
      <c r="F176" s="15">
        <v>5</v>
      </c>
      <c r="G176" s="1" t="s">
        <v>17</v>
      </c>
      <c r="H176" s="13" t="s">
        <v>21</v>
      </c>
      <c r="I176" s="15">
        <v>0</v>
      </c>
      <c r="J176" s="13" t="s">
        <v>21</v>
      </c>
      <c r="K176" s="15">
        <v>0</v>
      </c>
      <c r="L176" s="19">
        <v>1</v>
      </c>
      <c r="M176" s="15">
        <v>4</v>
      </c>
    </row>
    <row r="177" spans="1:13" x14ac:dyDescent="0.3">
      <c r="A177" s="1" t="s">
        <v>368</v>
      </c>
      <c r="B177" s="1" t="s">
        <v>369</v>
      </c>
      <c r="C177" s="1" t="s">
        <v>20</v>
      </c>
      <c r="D177" s="2">
        <v>45523</v>
      </c>
      <c r="E177" s="13" t="s">
        <v>16</v>
      </c>
      <c r="F177" s="15">
        <v>5</v>
      </c>
      <c r="G177" s="1" t="s">
        <v>17</v>
      </c>
      <c r="H177" s="13" t="s">
        <v>21</v>
      </c>
      <c r="I177" s="15">
        <v>0</v>
      </c>
      <c r="J177" s="13" t="s">
        <v>21</v>
      </c>
      <c r="K177" s="15">
        <v>0</v>
      </c>
      <c r="L177" s="19">
        <v>0</v>
      </c>
      <c r="M177" s="15">
        <v>5</v>
      </c>
    </row>
    <row r="178" spans="1:13" x14ac:dyDescent="0.3">
      <c r="A178" s="1" t="s">
        <v>370</v>
      </c>
      <c r="B178" s="1" t="s">
        <v>371</v>
      </c>
      <c r="C178" s="1" t="s">
        <v>15</v>
      </c>
      <c r="D178" s="2">
        <v>45524</v>
      </c>
      <c r="E178" s="13" t="s">
        <v>21</v>
      </c>
      <c r="F178" s="15">
        <v>15</v>
      </c>
      <c r="G178" s="1" t="s">
        <v>26</v>
      </c>
      <c r="H178" s="13" t="s">
        <v>16</v>
      </c>
      <c r="I178" s="15">
        <v>30</v>
      </c>
      <c r="J178" s="13" t="s">
        <v>16</v>
      </c>
      <c r="K178" s="15">
        <v>20</v>
      </c>
      <c r="L178">
        <v>7</v>
      </c>
      <c r="M178" s="15">
        <v>58</v>
      </c>
    </row>
    <row r="179" spans="1:13" x14ac:dyDescent="0.3">
      <c r="A179" s="1" t="s">
        <v>372</v>
      </c>
      <c r="B179" s="1" t="s">
        <v>373</v>
      </c>
      <c r="C179" s="1" t="s">
        <v>25</v>
      </c>
      <c r="D179" s="2">
        <v>45525</v>
      </c>
      <c r="E179" s="13" t="s">
        <v>16</v>
      </c>
      <c r="F179" s="15">
        <v>10</v>
      </c>
      <c r="G179" s="1" t="s">
        <v>22</v>
      </c>
      <c r="H179" s="13" t="s">
        <v>21</v>
      </c>
      <c r="I179" s="15">
        <v>0</v>
      </c>
      <c r="J179" s="13" t="s">
        <v>16</v>
      </c>
      <c r="K179" s="15">
        <v>20</v>
      </c>
      <c r="L179">
        <v>10</v>
      </c>
      <c r="M179" s="15">
        <v>20</v>
      </c>
    </row>
    <row r="180" spans="1:13" x14ac:dyDescent="0.3">
      <c r="A180" s="1" t="s">
        <v>374</v>
      </c>
      <c r="B180" s="1" t="s">
        <v>375</v>
      </c>
      <c r="C180" s="1" t="s">
        <v>20</v>
      </c>
      <c r="D180" s="2">
        <v>45526</v>
      </c>
      <c r="E180" s="13" t="s">
        <v>21</v>
      </c>
      <c r="F180" s="15">
        <v>5</v>
      </c>
      <c r="G180" s="1" t="s">
        <v>26</v>
      </c>
      <c r="H180" s="13" t="s">
        <v>21</v>
      </c>
      <c r="I180" s="15">
        <v>0</v>
      </c>
      <c r="J180" s="13" t="s">
        <v>21</v>
      </c>
      <c r="K180" s="15">
        <v>0</v>
      </c>
      <c r="L180" s="19">
        <v>1</v>
      </c>
      <c r="M180" s="15">
        <v>4</v>
      </c>
    </row>
    <row r="181" spans="1:13" x14ac:dyDescent="0.3">
      <c r="A181" s="1" t="s">
        <v>376</v>
      </c>
      <c r="B181" s="1" t="s">
        <v>377</v>
      </c>
      <c r="C181" s="1" t="s">
        <v>15</v>
      </c>
      <c r="D181" s="2">
        <v>45527</v>
      </c>
      <c r="E181" s="13" t="s">
        <v>16</v>
      </c>
      <c r="F181" s="15">
        <v>15</v>
      </c>
      <c r="G181" s="1" t="s">
        <v>17</v>
      </c>
      <c r="H181" s="13" t="s">
        <v>16</v>
      </c>
      <c r="I181" s="15">
        <v>30</v>
      </c>
      <c r="J181" s="13" t="s">
        <v>16</v>
      </c>
      <c r="K181" s="15">
        <v>20</v>
      </c>
      <c r="L181">
        <v>15</v>
      </c>
      <c r="M181" s="15">
        <v>50</v>
      </c>
    </row>
    <row r="182" spans="1:13" x14ac:dyDescent="0.3">
      <c r="A182" s="1" t="s">
        <v>378</v>
      </c>
      <c r="B182" s="1" t="s">
        <v>379</v>
      </c>
      <c r="C182" s="1" t="s">
        <v>25</v>
      </c>
      <c r="D182" s="2">
        <v>45528</v>
      </c>
      <c r="E182" s="13" t="s">
        <v>21</v>
      </c>
      <c r="F182" s="15">
        <v>10</v>
      </c>
      <c r="G182" s="1" t="s">
        <v>17</v>
      </c>
      <c r="H182" s="13" t="s">
        <v>21</v>
      </c>
      <c r="I182" s="15">
        <v>0</v>
      </c>
      <c r="J182" s="13" t="s">
        <v>16</v>
      </c>
      <c r="K182" s="15">
        <v>20</v>
      </c>
      <c r="L182">
        <v>5</v>
      </c>
      <c r="M182" s="15">
        <v>25</v>
      </c>
    </row>
    <row r="183" spans="1:13" x14ac:dyDescent="0.3">
      <c r="A183" s="1" t="s">
        <v>380</v>
      </c>
      <c r="B183" s="1" t="s">
        <v>381</v>
      </c>
      <c r="C183" s="1" t="s">
        <v>20</v>
      </c>
      <c r="D183" s="2">
        <v>45529</v>
      </c>
      <c r="E183" s="13" t="s">
        <v>16</v>
      </c>
      <c r="F183" s="15">
        <v>5</v>
      </c>
      <c r="G183" s="1" t="s">
        <v>22</v>
      </c>
      <c r="H183" s="13" t="s">
        <v>21</v>
      </c>
      <c r="I183" s="15">
        <v>0</v>
      </c>
      <c r="J183" s="13" t="s">
        <v>21</v>
      </c>
      <c r="K183" s="15">
        <v>0</v>
      </c>
      <c r="L183" s="19">
        <v>0</v>
      </c>
      <c r="M183" s="15">
        <v>5</v>
      </c>
    </row>
    <row r="184" spans="1:13" x14ac:dyDescent="0.3">
      <c r="A184" s="1" t="s">
        <v>382</v>
      </c>
      <c r="B184" s="1" t="s">
        <v>383</v>
      </c>
      <c r="C184" s="1" t="s">
        <v>15</v>
      </c>
      <c r="D184" s="2">
        <v>45530</v>
      </c>
      <c r="E184" s="13" t="s">
        <v>21</v>
      </c>
      <c r="F184" s="15">
        <v>15</v>
      </c>
      <c r="G184" s="1" t="s">
        <v>26</v>
      </c>
      <c r="H184" s="13" t="s">
        <v>16</v>
      </c>
      <c r="I184" s="15">
        <v>30</v>
      </c>
      <c r="J184" s="13" t="s">
        <v>16</v>
      </c>
      <c r="K184" s="15">
        <v>20</v>
      </c>
      <c r="L184">
        <v>20</v>
      </c>
      <c r="M184" s="15">
        <v>45</v>
      </c>
    </row>
    <row r="185" spans="1:13" x14ac:dyDescent="0.3">
      <c r="A185" s="1" t="s">
        <v>384</v>
      </c>
      <c r="B185" s="1" t="s">
        <v>385</v>
      </c>
      <c r="C185" s="1" t="s">
        <v>25</v>
      </c>
      <c r="D185" s="2">
        <v>45531</v>
      </c>
      <c r="E185" s="13" t="s">
        <v>16</v>
      </c>
      <c r="F185" s="15">
        <v>10</v>
      </c>
      <c r="G185" s="1" t="s">
        <v>26</v>
      </c>
      <c r="H185" s="13" t="s">
        <v>21</v>
      </c>
      <c r="I185" s="15">
        <v>0</v>
      </c>
      <c r="J185" s="13" t="s">
        <v>16</v>
      </c>
      <c r="K185" s="15">
        <v>20</v>
      </c>
      <c r="L185">
        <v>12</v>
      </c>
      <c r="M185" s="15">
        <v>18</v>
      </c>
    </row>
    <row r="186" spans="1:13" x14ac:dyDescent="0.3">
      <c r="A186" s="1" t="s">
        <v>386</v>
      </c>
      <c r="B186" s="1" t="s">
        <v>387</v>
      </c>
      <c r="C186" s="1" t="s">
        <v>20</v>
      </c>
      <c r="D186" s="2">
        <v>45532</v>
      </c>
      <c r="E186" s="13" t="s">
        <v>21</v>
      </c>
      <c r="F186" s="15">
        <v>5</v>
      </c>
      <c r="G186" s="1" t="s">
        <v>17</v>
      </c>
      <c r="H186" s="13" t="s">
        <v>21</v>
      </c>
      <c r="I186" s="15">
        <v>0</v>
      </c>
      <c r="J186" s="13" t="s">
        <v>21</v>
      </c>
      <c r="K186" s="15">
        <v>0</v>
      </c>
      <c r="L186" s="19">
        <v>2</v>
      </c>
      <c r="M186" s="15">
        <v>3</v>
      </c>
    </row>
    <row r="187" spans="1:13" x14ac:dyDescent="0.3">
      <c r="A187" s="1" t="s">
        <v>388</v>
      </c>
      <c r="B187" s="1" t="s">
        <v>389</v>
      </c>
      <c r="C187" s="1" t="s">
        <v>15</v>
      </c>
      <c r="D187" s="2">
        <v>45533</v>
      </c>
      <c r="E187" s="13" t="s">
        <v>16</v>
      </c>
      <c r="F187" s="15">
        <v>15</v>
      </c>
      <c r="G187" s="1" t="s">
        <v>22</v>
      </c>
      <c r="H187" s="13" t="s">
        <v>16</v>
      </c>
      <c r="I187" s="15">
        <v>30</v>
      </c>
      <c r="J187" s="13" t="s">
        <v>16</v>
      </c>
      <c r="K187" s="15">
        <v>20</v>
      </c>
      <c r="L187">
        <v>5</v>
      </c>
      <c r="M187" s="15">
        <v>60</v>
      </c>
    </row>
    <row r="188" spans="1:13" x14ac:dyDescent="0.3">
      <c r="A188" s="1" t="s">
        <v>390</v>
      </c>
      <c r="B188" s="1" t="s">
        <v>391</v>
      </c>
      <c r="C188" s="1" t="s">
        <v>25</v>
      </c>
      <c r="D188" s="2">
        <v>45534</v>
      </c>
      <c r="E188" s="13" t="s">
        <v>21</v>
      </c>
      <c r="F188" s="15">
        <v>10</v>
      </c>
      <c r="G188" s="1" t="s">
        <v>17</v>
      </c>
      <c r="H188" s="13" t="s">
        <v>21</v>
      </c>
      <c r="I188" s="15">
        <v>0</v>
      </c>
      <c r="J188" s="13" t="s">
        <v>16</v>
      </c>
      <c r="K188" s="15">
        <v>20</v>
      </c>
      <c r="L188">
        <v>10</v>
      </c>
      <c r="M188" s="15">
        <v>20</v>
      </c>
    </row>
    <row r="189" spans="1:13" x14ac:dyDescent="0.3">
      <c r="A189" s="1" t="s">
        <v>392</v>
      </c>
      <c r="B189" s="1" t="s">
        <v>393</v>
      </c>
      <c r="C189" s="1" t="s">
        <v>20</v>
      </c>
      <c r="D189" s="2">
        <v>45535</v>
      </c>
      <c r="E189" s="13" t="s">
        <v>16</v>
      </c>
      <c r="F189" s="15">
        <v>5</v>
      </c>
      <c r="G189" s="1" t="s">
        <v>26</v>
      </c>
      <c r="H189" s="13" t="s">
        <v>21</v>
      </c>
      <c r="I189" s="15">
        <v>0</v>
      </c>
      <c r="J189" s="13" t="s">
        <v>21</v>
      </c>
      <c r="K189" s="15">
        <v>0</v>
      </c>
      <c r="L189" s="19">
        <v>0</v>
      </c>
      <c r="M189" s="15">
        <v>5</v>
      </c>
    </row>
    <row r="190" spans="1:13" x14ac:dyDescent="0.3">
      <c r="A190" s="1" t="s">
        <v>394</v>
      </c>
      <c r="B190" s="1" t="s">
        <v>395</v>
      </c>
      <c r="C190" s="1" t="s">
        <v>15</v>
      </c>
      <c r="D190" s="2">
        <v>45536</v>
      </c>
      <c r="E190" s="13" t="s">
        <v>21</v>
      </c>
      <c r="F190" s="15">
        <v>15</v>
      </c>
      <c r="G190" s="1" t="s">
        <v>17</v>
      </c>
      <c r="H190" s="13" t="s">
        <v>16</v>
      </c>
      <c r="I190" s="15">
        <v>30</v>
      </c>
      <c r="J190" s="13" t="s">
        <v>16</v>
      </c>
      <c r="K190" s="15">
        <v>20</v>
      </c>
      <c r="L190">
        <v>3</v>
      </c>
      <c r="M190" s="15">
        <v>62</v>
      </c>
    </row>
    <row r="191" spans="1:13" x14ac:dyDescent="0.3">
      <c r="A191" s="1" t="s">
        <v>396</v>
      </c>
      <c r="B191" s="1" t="s">
        <v>397</v>
      </c>
      <c r="C191" s="1" t="s">
        <v>25</v>
      </c>
      <c r="D191" s="2">
        <v>45537</v>
      </c>
      <c r="E191" s="13" t="s">
        <v>16</v>
      </c>
      <c r="F191" s="15">
        <v>10</v>
      </c>
      <c r="G191" s="1" t="s">
        <v>22</v>
      </c>
      <c r="H191" s="13" t="s">
        <v>21</v>
      </c>
      <c r="I191" s="15">
        <v>0</v>
      </c>
      <c r="J191" s="13" t="s">
        <v>16</v>
      </c>
      <c r="K191" s="15">
        <v>20</v>
      </c>
      <c r="L191">
        <v>15</v>
      </c>
      <c r="M191" s="15">
        <v>15</v>
      </c>
    </row>
    <row r="192" spans="1:13" x14ac:dyDescent="0.3">
      <c r="A192" s="1" t="s">
        <v>398</v>
      </c>
      <c r="B192" s="1" t="s">
        <v>52</v>
      </c>
      <c r="C192" s="1" t="s">
        <v>20</v>
      </c>
      <c r="D192" s="2">
        <v>45538</v>
      </c>
      <c r="E192" s="13" t="s">
        <v>21</v>
      </c>
      <c r="F192" s="15">
        <v>5</v>
      </c>
      <c r="G192" s="1" t="s">
        <v>17</v>
      </c>
      <c r="H192" s="13" t="s">
        <v>21</v>
      </c>
      <c r="I192" s="15">
        <v>0</v>
      </c>
      <c r="J192" s="13" t="s">
        <v>21</v>
      </c>
      <c r="K192" s="15">
        <v>0</v>
      </c>
      <c r="L192" s="19">
        <v>1</v>
      </c>
      <c r="M192" s="15">
        <v>4</v>
      </c>
    </row>
    <row r="193" spans="1:13" x14ac:dyDescent="0.3">
      <c r="A193" s="1" t="s">
        <v>399</v>
      </c>
      <c r="B193" s="1" t="s">
        <v>400</v>
      </c>
      <c r="C193" s="1" t="s">
        <v>15</v>
      </c>
      <c r="D193" s="2">
        <v>45539</v>
      </c>
      <c r="E193" s="13" t="s">
        <v>16</v>
      </c>
      <c r="F193" s="15">
        <v>15</v>
      </c>
      <c r="G193" s="1" t="s">
        <v>26</v>
      </c>
      <c r="H193" s="13" t="s">
        <v>16</v>
      </c>
      <c r="I193" s="15">
        <v>30</v>
      </c>
      <c r="J193" s="13" t="s">
        <v>16</v>
      </c>
      <c r="K193" s="15">
        <v>20</v>
      </c>
      <c r="L193">
        <v>7</v>
      </c>
      <c r="M193" s="15">
        <v>58</v>
      </c>
    </row>
    <row r="194" spans="1:13" x14ac:dyDescent="0.3">
      <c r="A194" s="1" t="s">
        <v>401</v>
      </c>
      <c r="B194" s="1" t="s">
        <v>402</v>
      </c>
      <c r="C194" s="1" t="s">
        <v>25</v>
      </c>
      <c r="D194" s="2">
        <v>45540</v>
      </c>
      <c r="E194" s="13" t="s">
        <v>21</v>
      </c>
      <c r="F194" s="15">
        <v>10</v>
      </c>
      <c r="G194" s="1" t="s">
        <v>17</v>
      </c>
      <c r="H194" s="13" t="s">
        <v>21</v>
      </c>
      <c r="I194" s="15">
        <v>0</v>
      </c>
      <c r="J194" s="13" t="s">
        <v>16</v>
      </c>
      <c r="K194" s="15">
        <v>20</v>
      </c>
      <c r="L194">
        <v>10</v>
      </c>
      <c r="M194" s="15">
        <v>20</v>
      </c>
    </row>
    <row r="195" spans="1:13" x14ac:dyDescent="0.3">
      <c r="A195" s="1" t="s">
        <v>403</v>
      </c>
      <c r="B195" s="1" t="s">
        <v>50</v>
      </c>
      <c r="C195" s="1" t="s">
        <v>20</v>
      </c>
      <c r="D195" s="2">
        <v>45541</v>
      </c>
      <c r="E195" s="13" t="s">
        <v>16</v>
      </c>
      <c r="F195" s="15">
        <v>5</v>
      </c>
      <c r="G195" s="1" t="s">
        <v>22</v>
      </c>
      <c r="H195" s="13" t="s">
        <v>21</v>
      </c>
      <c r="I195" s="15">
        <v>0</v>
      </c>
      <c r="J195" s="13" t="s">
        <v>21</v>
      </c>
      <c r="K195" s="15">
        <v>0</v>
      </c>
      <c r="L195" s="19">
        <v>0</v>
      </c>
      <c r="M195" s="15">
        <v>5</v>
      </c>
    </row>
    <row r="196" spans="1:13" x14ac:dyDescent="0.3">
      <c r="A196" s="1" t="s">
        <v>404</v>
      </c>
      <c r="B196" s="1" t="s">
        <v>405</v>
      </c>
      <c r="C196" s="1" t="s">
        <v>15</v>
      </c>
      <c r="D196" s="2">
        <v>45542</v>
      </c>
      <c r="E196" s="13" t="s">
        <v>21</v>
      </c>
      <c r="F196" s="15">
        <v>15</v>
      </c>
      <c r="G196" s="1" t="s">
        <v>17</v>
      </c>
      <c r="H196" s="13" t="s">
        <v>16</v>
      </c>
      <c r="I196" s="15">
        <v>30</v>
      </c>
      <c r="J196" s="13" t="s">
        <v>16</v>
      </c>
      <c r="K196" s="15">
        <v>20</v>
      </c>
      <c r="L196">
        <v>20</v>
      </c>
      <c r="M196" s="15">
        <v>45</v>
      </c>
    </row>
    <row r="197" spans="1:13" x14ac:dyDescent="0.3">
      <c r="A197" s="1" t="s">
        <v>406</v>
      </c>
      <c r="B197" s="1" t="s">
        <v>359</v>
      </c>
      <c r="C197" s="1" t="s">
        <v>25</v>
      </c>
      <c r="D197" s="2">
        <v>45543</v>
      </c>
      <c r="E197" s="13" t="s">
        <v>16</v>
      </c>
      <c r="F197" s="15">
        <v>10</v>
      </c>
      <c r="G197" s="1" t="s">
        <v>26</v>
      </c>
      <c r="H197" s="13" t="s">
        <v>21</v>
      </c>
      <c r="I197" s="15">
        <v>0</v>
      </c>
      <c r="J197" s="13" t="s">
        <v>16</v>
      </c>
      <c r="K197" s="15">
        <v>20</v>
      </c>
      <c r="L197">
        <v>15</v>
      </c>
      <c r="M197" s="15">
        <v>15</v>
      </c>
    </row>
    <row r="198" spans="1:13" x14ac:dyDescent="0.3">
      <c r="A198" s="1" t="s">
        <v>407</v>
      </c>
      <c r="B198" s="1" t="s">
        <v>408</v>
      </c>
      <c r="C198" s="1" t="s">
        <v>20</v>
      </c>
      <c r="D198" s="2">
        <v>45544</v>
      </c>
      <c r="E198" s="13" t="s">
        <v>21</v>
      </c>
      <c r="F198" s="15">
        <v>5</v>
      </c>
      <c r="G198" s="1" t="s">
        <v>17</v>
      </c>
      <c r="H198" s="13" t="s">
        <v>21</v>
      </c>
      <c r="I198" s="15">
        <v>0</v>
      </c>
      <c r="J198" s="13" t="s">
        <v>21</v>
      </c>
      <c r="K198" s="15">
        <v>0</v>
      </c>
      <c r="L198" s="19">
        <v>1</v>
      </c>
      <c r="M198" s="15">
        <v>4</v>
      </c>
    </row>
    <row r="199" spans="1:13" x14ac:dyDescent="0.3">
      <c r="A199" s="1" t="s">
        <v>409</v>
      </c>
      <c r="B199" s="1" t="s">
        <v>410</v>
      </c>
      <c r="C199" s="1" t="s">
        <v>15</v>
      </c>
      <c r="D199" s="2">
        <v>45545</v>
      </c>
      <c r="E199" s="13" t="s">
        <v>16</v>
      </c>
      <c r="F199" s="15">
        <v>15</v>
      </c>
      <c r="G199" s="1" t="s">
        <v>22</v>
      </c>
      <c r="H199" s="13" t="s">
        <v>16</v>
      </c>
      <c r="I199" s="15">
        <v>30</v>
      </c>
      <c r="J199" s="13" t="s">
        <v>16</v>
      </c>
      <c r="K199" s="15">
        <v>20</v>
      </c>
      <c r="L199">
        <v>3</v>
      </c>
      <c r="M199" s="15">
        <v>62</v>
      </c>
    </row>
    <row r="200" spans="1:13" x14ac:dyDescent="0.3">
      <c r="A200" s="1" t="s">
        <v>411</v>
      </c>
      <c r="B200" s="1" t="s">
        <v>412</v>
      </c>
      <c r="C200" s="1" t="s">
        <v>25</v>
      </c>
      <c r="D200" s="2">
        <v>45546</v>
      </c>
      <c r="E200" s="13" t="s">
        <v>21</v>
      </c>
      <c r="F200" s="15">
        <v>10</v>
      </c>
      <c r="G200" s="1" t="s">
        <v>17</v>
      </c>
      <c r="H200" s="13" t="s">
        <v>21</v>
      </c>
      <c r="I200" s="15">
        <v>0</v>
      </c>
      <c r="J200" s="13" t="s">
        <v>16</v>
      </c>
      <c r="K200" s="15">
        <v>20</v>
      </c>
      <c r="L200">
        <v>10</v>
      </c>
      <c r="M200" s="15">
        <v>20</v>
      </c>
    </row>
    <row r="201" spans="1:13" x14ac:dyDescent="0.3">
      <c r="A201" s="1" t="s">
        <v>413</v>
      </c>
      <c r="B201" s="1" t="s">
        <v>414</v>
      </c>
      <c r="C201" s="1" t="s">
        <v>20</v>
      </c>
      <c r="D201" s="2">
        <v>45547</v>
      </c>
      <c r="E201" s="13" t="s">
        <v>16</v>
      </c>
      <c r="F201" s="15">
        <v>5</v>
      </c>
      <c r="G201" s="1" t="s">
        <v>26</v>
      </c>
      <c r="H201" s="13" t="s">
        <v>21</v>
      </c>
      <c r="I201" s="15">
        <v>0</v>
      </c>
      <c r="J201" s="13" t="s">
        <v>21</v>
      </c>
      <c r="K201" s="15">
        <v>0</v>
      </c>
      <c r="L201" s="19">
        <v>0</v>
      </c>
      <c r="M201" s="15">
        <v>5</v>
      </c>
    </row>
    <row r="202" spans="1:13" x14ac:dyDescent="0.3">
      <c r="A202" s="1" t="s">
        <v>415</v>
      </c>
      <c r="B202" s="1" t="s">
        <v>416</v>
      </c>
      <c r="C202" s="1" t="s">
        <v>15</v>
      </c>
      <c r="D202" s="2">
        <v>45548</v>
      </c>
      <c r="E202" s="13" t="s">
        <v>21</v>
      </c>
      <c r="F202" s="15">
        <v>15</v>
      </c>
      <c r="G202" s="1" t="s">
        <v>17</v>
      </c>
      <c r="H202" s="13" t="s">
        <v>16</v>
      </c>
      <c r="I202" s="15">
        <v>30</v>
      </c>
      <c r="J202" s="13" t="s">
        <v>16</v>
      </c>
      <c r="K202" s="15">
        <v>20</v>
      </c>
      <c r="L202">
        <v>15</v>
      </c>
      <c r="M202" s="15">
        <v>50</v>
      </c>
    </row>
    <row r="203" spans="1:13" x14ac:dyDescent="0.3">
      <c r="A203" s="1" t="s">
        <v>417</v>
      </c>
      <c r="B203" s="1" t="s">
        <v>418</v>
      </c>
      <c r="C203" s="1" t="s">
        <v>25</v>
      </c>
      <c r="D203" s="2">
        <v>45549</v>
      </c>
      <c r="E203" s="13" t="s">
        <v>16</v>
      </c>
      <c r="F203" s="15">
        <v>10</v>
      </c>
      <c r="G203" s="1" t="s">
        <v>22</v>
      </c>
      <c r="H203" s="13" t="s">
        <v>21</v>
      </c>
      <c r="I203" s="15">
        <v>0</v>
      </c>
      <c r="J203" s="13" t="s">
        <v>16</v>
      </c>
      <c r="K203" s="15">
        <v>20</v>
      </c>
      <c r="L203">
        <v>15</v>
      </c>
      <c r="M203" s="15">
        <v>15</v>
      </c>
    </row>
    <row r="204" spans="1:13" x14ac:dyDescent="0.3">
      <c r="A204" s="1" t="s">
        <v>419</v>
      </c>
      <c r="B204" s="1" t="s">
        <v>420</v>
      </c>
      <c r="C204" s="1" t="s">
        <v>20</v>
      </c>
      <c r="D204" s="2">
        <v>45550</v>
      </c>
      <c r="E204" s="13" t="s">
        <v>21</v>
      </c>
      <c r="F204" s="15">
        <v>5</v>
      </c>
      <c r="G204" s="1" t="s">
        <v>17</v>
      </c>
      <c r="H204" s="13" t="s">
        <v>21</v>
      </c>
      <c r="I204" s="15">
        <v>0</v>
      </c>
      <c r="J204" s="13" t="s">
        <v>21</v>
      </c>
      <c r="K204" s="15">
        <v>0</v>
      </c>
      <c r="L204" s="19">
        <v>1</v>
      </c>
      <c r="M204" s="15">
        <v>4</v>
      </c>
    </row>
    <row r="205" spans="1:13" x14ac:dyDescent="0.3">
      <c r="A205" s="1" t="s">
        <v>421</v>
      </c>
      <c r="B205" s="1" t="s">
        <v>422</v>
      </c>
      <c r="C205" s="1" t="s">
        <v>15</v>
      </c>
      <c r="D205" s="2">
        <v>45551</v>
      </c>
      <c r="E205" s="13" t="s">
        <v>16</v>
      </c>
      <c r="F205" s="15">
        <v>15</v>
      </c>
      <c r="G205" s="1" t="s">
        <v>26</v>
      </c>
      <c r="H205" s="13" t="s">
        <v>16</v>
      </c>
      <c r="I205" s="15">
        <v>30</v>
      </c>
      <c r="J205" s="13" t="s">
        <v>16</v>
      </c>
      <c r="K205" s="15">
        <v>20</v>
      </c>
      <c r="L205">
        <v>7</v>
      </c>
      <c r="M205" s="15">
        <v>58</v>
      </c>
    </row>
    <row r="206" spans="1:13" x14ac:dyDescent="0.3">
      <c r="A206" s="1" t="s">
        <v>423</v>
      </c>
      <c r="B206" s="1" t="s">
        <v>424</v>
      </c>
      <c r="C206" s="1" t="s">
        <v>25</v>
      </c>
      <c r="D206" s="2">
        <v>45552</v>
      </c>
      <c r="E206" s="13" t="s">
        <v>21</v>
      </c>
      <c r="F206" s="15">
        <v>10</v>
      </c>
      <c r="G206" s="1" t="s">
        <v>17</v>
      </c>
      <c r="H206" s="13" t="s">
        <v>21</v>
      </c>
      <c r="I206" s="15">
        <v>0</v>
      </c>
      <c r="J206" s="13" t="s">
        <v>16</v>
      </c>
      <c r="K206" s="15">
        <v>20</v>
      </c>
      <c r="L206">
        <v>10</v>
      </c>
      <c r="M206" s="15">
        <v>20</v>
      </c>
    </row>
    <row r="207" spans="1:13" x14ac:dyDescent="0.3">
      <c r="A207" s="1" t="s">
        <v>425</v>
      </c>
      <c r="B207" s="1" t="s">
        <v>426</v>
      </c>
      <c r="C207" s="1" t="s">
        <v>20</v>
      </c>
      <c r="D207" s="2">
        <v>45553</v>
      </c>
      <c r="E207" s="13" t="s">
        <v>16</v>
      </c>
      <c r="F207" s="15">
        <v>5</v>
      </c>
      <c r="G207" s="1" t="s">
        <v>17</v>
      </c>
      <c r="H207" s="13" t="s">
        <v>21</v>
      </c>
      <c r="I207" s="15">
        <v>0</v>
      </c>
      <c r="J207" s="13" t="s">
        <v>21</v>
      </c>
      <c r="K207" s="15">
        <v>0</v>
      </c>
      <c r="L207" s="19">
        <v>0</v>
      </c>
      <c r="M207" s="15">
        <v>5</v>
      </c>
    </row>
    <row r="208" spans="1:13" x14ac:dyDescent="0.3">
      <c r="A208" s="1" t="s">
        <v>427</v>
      </c>
      <c r="B208" s="1" t="s">
        <v>428</v>
      </c>
      <c r="C208" s="1" t="s">
        <v>15</v>
      </c>
      <c r="D208" s="2">
        <v>45554</v>
      </c>
      <c r="E208" s="13" t="s">
        <v>21</v>
      </c>
      <c r="F208" s="15">
        <v>15</v>
      </c>
      <c r="G208" s="1" t="s">
        <v>26</v>
      </c>
      <c r="H208" s="13" t="s">
        <v>16</v>
      </c>
      <c r="I208" s="15">
        <v>30</v>
      </c>
      <c r="J208" s="13" t="s">
        <v>16</v>
      </c>
      <c r="K208" s="15">
        <v>20</v>
      </c>
      <c r="L208">
        <v>7</v>
      </c>
      <c r="M208" s="15">
        <v>58</v>
      </c>
    </row>
    <row r="209" spans="1:13" x14ac:dyDescent="0.3">
      <c r="A209" s="1" t="s">
        <v>429</v>
      </c>
      <c r="B209" s="1" t="s">
        <v>430</v>
      </c>
      <c r="C209" s="1" t="s">
        <v>25</v>
      </c>
      <c r="D209" s="2">
        <v>45555</v>
      </c>
      <c r="E209" s="13" t="s">
        <v>16</v>
      </c>
      <c r="F209" s="15">
        <v>10</v>
      </c>
      <c r="G209" s="1" t="s">
        <v>22</v>
      </c>
      <c r="H209" s="13" t="s">
        <v>21</v>
      </c>
      <c r="I209" s="15">
        <v>0</v>
      </c>
      <c r="J209" s="13" t="s">
        <v>16</v>
      </c>
      <c r="K209" s="15">
        <v>20</v>
      </c>
      <c r="L209">
        <v>10</v>
      </c>
      <c r="M209" s="15">
        <v>20</v>
      </c>
    </row>
    <row r="210" spans="1:13" x14ac:dyDescent="0.3">
      <c r="A210" s="1" t="s">
        <v>431</v>
      </c>
      <c r="B210" s="1" t="s">
        <v>432</v>
      </c>
      <c r="C210" s="1" t="s">
        <v>20</v>
      </c>
      <c r="D210" s="2">
        <v>45556</v>
      </c>
      <c r="E210" s="13" t="s">
        <v>21</v>
      </c>
      <c r="F210" s="15">
        <v>5</v>
      </c>
      <c r="G210" s="1" t="s">
        <v>26</v>
      </c>
      <c r="H210" s="13" t="s">
        <v>21</v>
      </c>
      <c r="I210" s="15">
        <v>0</v>
      </c>
      <c r="J210" s="13" t="s">
        <v>21</v>
      </c>
      <c r="K210" s="15">
        <v>0</v>
      </c>
      <c r="L210" s="19">
        <v>1</v>
      </c>
      <c r="M210" s="15">
        <v>4</v>
      </c>
    </row>
    <row r="211" spans="1:13" x14ac:dyDescent="0.3">
      <c r="A211" s="1" t="s">
        <v>433</v>
      </c>
      <c r="B211" s="1" t="s">
        <v>434</v>
      </c>
      <c r="C211" s="1" t="s">
        <v>15</v>
      </c>
      <c r="D211" s="2">
        <v>45557</v>
      </c>
      <c r="E211" s="13" t="s">
        <v>16</v>
      </c>
      <c r="F211" s="15">
        <v>15</v>
      </c>
      <c r="G211" s="1" t="s">
        <v>17</v>
      </c>
      <c r="H211" s="13" t="s">
        <v>16</v>
      </c>
      <c r="I211" s="15">
        <v>30</v>
      </c>
      <c r="J211" s="13" t="s">
        <v>16</v>
      </c>
      <c r="K211" s="15">
        <v>20</v>
      </c>
      <c r="L211">
        <v>15</v>
      </c>
      <c r="M211" s="15">
        <v>50</v>
      </c>
    </row>
    <row r="212" spans="1:13" x14ac:dyDescent="0.3">
      <c r="A212" s="1" t="s">
        <v>435</v>
      </c>
      <c r="B212" s="1" t="s">
        <v>436</v>
      </c>
      <c r="C212" s="1" t="s">
        <v>25</v>
      </c>
      <c r="D212" s="2">
        <v>45558</v>
      </c>
      <c r="E212" s="13" t="s">
        <v>21</v>
      </c>
      <c r="F212" s="15">
        <v>10</v>
      </c>
      <c r="G212" s="1" t="s">
        <v>17</v>
      </c>
      <c r="H212" s="13" t="s">
        <v>21</v>
      </c>
      <c r="I212" s="15">
        <v>0</v>
      </c>
      <c r="J212" s="13" t="s">
        <v>16</v>
      </c>
      <c r="K212" s="15">
        <v>20</v>
      </c>
      <c r="L212">
        <v>5</v>
      </c>
      <c r="M212" s="15">
        <v>25</v>
      </c>
    </row>
    <row r="213" spans="1:13" x14ac:dyDescent="0.3">
      <c r="A213" s="1" t="s">
        <v>437</v>
      </c>
      <c r="B213" s="1" t="s">
        <v>438</v>
      </c>
      <c r="C213" s="1" t="s">
        <v>20</v>
      </c>
      <c r="D213" s="2">
        <v>45559</v>
      </c>
      <c r="E213" s="13" t="s">
        <v>16</v>
      </c>
      <c r="F213" s="15">
        <v>5</v>
      </c>
      <c r="G213" s="1" t="s">
        <v>22</v>
      </c>
      <c r="H213" s="13" t="s">
        <v>21</v>
      </c>
      <c r="I213" s="15">
        <v>0</v>
      </c>
      <c r="J213" s="13" t="s">
        <v>21</v>
      </c>
      <c r="K213" s="15">
        <v>0</v>
      </c>
      <c r="L213" s="19">
        <v>0</v>
      </c>
      <c r="M213" s="15">
        <v>5</v>
      </c>
    </row>
    <row r="214" spans="1:13" x14ac:dyDescent="0.3">
      <c r="A214" s="1" t="s">
        <v>439</v>
      </c>
      <c r="B214" s="1" t="s">
        <v>440</v>
      </c>
      <c r="C214" s="1" t="s">
        <v>15</v>
      </c>
      <c r="D214" s="2">
        <v>45560</v>
      </c>
      <c r="E214" s="13" t="s">
        <v>21</v>
      </c>
      <c r="F214" s="15">
        <v>15</v>
      </c>
      <c r="G214" s="1" t="s">
        <v>26</v>
      </c>
      <c r="H214" s="13" t="s">
        <v>16</v>
      </c>
      <c r="I214" s="15">
        <v>30</v>
      </c>
      <c r="J214" s="13" t="s">
        <v>16</v>
      </c>
      <c r="K214" s="15">
        <v>20</v>
      </c>
      <c r="L214">
        <v>20</v>
      </c>
      <c r="M214" s="15">
        <v>45</v>
      </c>
    </row>
    <row r="215" spans="1:13" x14ac:dyDescent="0.3">
      <c r="A215" s="1" t="s">
        <v>441</v>
      </c>
      <c r="B215" s="1" t="s">
        <v>442</v>
      </c>
      <c r="C215" s="1" t="s">
        <v>25</v>
      </c>
      <c r="D215" s="2">
        <v>45561</v>
      </c>
      <c r="E215" s="13" t="s">
        <v>16</v>
      </c>
      <c r="F215" s="15">
        <v>10</v>
      </c>
      <c r="G215" s="1" t="s">
        <v>26</v>
      </c>
      <c r="H215" s="13" t="s">
        <v>21</v>
      </c>
      <c r="I215" s="15">
        <v>0</v>
      </c>
      <c r="J215" s="13" t="s">
        <v>16</v>
      </c>
      <c r="K215" s="15">
        <v>20</v>
      </c>
      <c r="L215">
        <v>12</v>
      </c>
      <c r="M215" s="15">
        <v>18</v>
      </c>
    </row>
    <row r="216" spans="1:13" x14ac:dyDescent="0.3">
      <c r="A216" s="1" t="s">
        <v>443</v>
      </c>
      <c r="B216" s="1" t="s">
        <v>96</v>
      </c>
      <c r="C216" s="1" t="s">
        <v>20</v>
      </c>
      <c r="D216" s="2">
        <v>45562</v>
      </c>
      <c r="E216" s="13" t="s">
        <v>21</v>
      </c>
      <c r="F216" s="15">
        <v>5</v>
      </c>
      <c r="G216" s="1" t="s">
        <v>17</v>
      </c>
      <c r="H216" s="13" t="s">
        <v>21</v>
      </c>
      <c r="I216" s="15">
        <v>0</v>
      </c>
      <c r="J216" s="13" t="s">
        <v>21</v>
      </c>
      <c r="K216" s="15">
        <v>0</v>
      </c>
      <c r="L216" s="19">
        <v>2</v>
      </c>
      <c r="M216" s="15">
        <v>3</v>
      </c>
    </row>
    <row r="217" spans="1:13" x14ac:dyDescent="0.3">
      <c r="A217" s="1" t="s">
        <v>444</v>
      </c>
      <c r="B217" s="1" t="s">
        <v>445</v>
      </c>
      <c r="C217" s="1" t="s">
        <v>15</v>
      </c>
      <c r="D217" s="2">
        <v>45563</v>
      </c>
      <c r="E217" s="13" t="s">
        <v>16</v>
      </c>
      <c r="F217" s="15">
        <v>15</v>
      </c>
      <c r="G217" s="1" t="s">
        <v>22</v>
      </c>
      <c r="H217" s="13" t="s">
        <v>16</v>
      </c>
      <c r="I217" s="15">
        <v>30</v>
      </c>
      <c r="J217" s="13" t="s">
        <v>16</v>
      </c>
      <c r="K217" s="15">
        <v>20</v>
      </c>
      <c r="L217">
        <v>5</v>
      </c>
      <c r="M217" s="15">
        <v>60</v>
      </c>
    </row>
    <row r="218" spans="1:13" x14ac:dyDescent="0.3">
      <c r="A218" s="1" t="s">
        <v>446</v>
      </c>
      <c r="B218" s="1" t="s">
        <v>447</v>
      </c>
      <c r="C218" s="1" t="s">
        <v>25</v>
      </c>
      <c r="D218" s="2">
        <v>45564</v>
      </c>
      <c r="E218" s="13" t="s">
        <v>21</v>
      </c>
      <c r="F218" s="15">
        <v>10</v>
      </c>
      <c r="G218" s="1" t="s">
        <v>17</v>
      </c>
      <c r="H218" s="13" t="s">
        <v>21</v>
      </c>
      <c r="I218" s="15">
        <v>0</v>
      </c>
      <c r="J218" s="13" t="s">
        <v>16</v>
      </c>
      <c r="K218" s="15">
        <v>20</v>
      </c>
      <c r="L218">
        <v>10</v>
      </c>
      <c r="M218" s="15">
        <v>20</v>
      </c>
    </row>
    <row r="219" spans="1:13" x14ac:dyDescent="0.3">
      <c r="A219" s="1" t="s">
        <v>448</v>
      </c>
      <c r="B219" s="1" t="s">
        <v>449</v>
      </c>
      <c r="C219" s="1" t="s">
        <v>20</v>
      </c>
      <c r="D219" s="2">
        <v>45565</v>
      </c>
      <c r="E219" s="13" t="s">
        <v>16</v>
      </c>
      <c r="F219" s="15">
        <v>5</v>
      </c>
      <c r="G219" s="1" t="s">
        <v>26</v>
      </c>
      <c r="H219" s="13" t="s">
        <v>21</v>
      </c>
      <c r="I219" s="15">
        <v>0</v>
      </c>
      <c r="J219" s="13" t="s">
        <v>21</v>
      </c>
      <c r="K219" s="15">
        <v>0</v>
      </c>
      <c r="L219" s="19">
        <v>0</v>
      </c>
      <c r="M219" s="15">
        <v>5</v>
      </c>
    </row>
    <row r="220" spans="1:13" x14ac:dyDescent="0.3">
      <c r="A220" s="1" t="s">
        <v>450</v>
      </c>
      <c r="B220" s="1" t="s">
        <v>451</v>
      </c>
      <c r="C220" s="1" t="s">
        <v>15</v>
      </c>
      <c r="D220" s="2">
        <v>45566</v>
      </c>
      <c r="E220" s="13" t="s">
        <v>21</v>
      </c>
      <c r="F220" s="15">
        <v>15</v>
      </c>
      <c r="G220" s="1" t="s">
        <v>17</v>
      </c>
      <c r="H220" s="13" t="s">
        <v>16</v>
      </c>
      <c r="I220" s="15">
        <v>30</v>
      </c>
      <c r="J220" s="13" t="s">
        <v>16</v>
      </c>
      <c r="K220" s="15">
        <v>20</v>
      </c>
      <c r="L220">
        <v>3</v>
      </c>
      <c r="M220" s="15">
        <v>62</v>
      </c>
    </row>
    <row r="221" spans="1:13" x14ac:dyDescent="0.3">
      <c r="A221" s="1" t="s">
        <v>452</v>
      </c>
      <c r="B221" s="1" t="s">
        <v>453</v>
      </c>
      <c r="C221" s="1" t="s">
        <v>25</v>
      </c>
      <c r="D221" s="2">
        <v>45567</v>
      </c>
      <c r="E221" s="13" t="s">
        <v>16</v>
      </c>
      <c r="F221" s="15">
        <v>10</v>
      </c>
      <c r="G221" s="1" t="s">
        <v>22</v>
      </c>
      <c r="H221" s="13" t="s">
        <v>21</v>
      </c>
      <c r="I221" s="15">
        <v>0</v>
      </c>
      <c r="J221" s="13" t="s">
        <v>16</v>
      </c>
      <c r="K221" s="15">
        <v>20</v>
      </c>
      <c r="L221">
        <v>15</v>
      </c>
      <c r="M221" s="15">
        <v>15</v>
      </c>
    </row>
    <row r="222" spans="1:13" x14ac:dyDescent="0.3">
      <c r="A222" s="1" t="s">
        <v>454</v>
      </c>
      <c r="B222" s="1" t="s">
        <v>455</v>
      </c>
      <c r="C222" s="1" t="s">
        <v>20</v>
      </c>
      <c r="D222" s="2">
        <v>45568</v>
      </c>
      <c r="E222" s="13" t="s">
        <v>21</v>
      </c>
      <c r="F222" s="15">
        <v>5</v>
      </c>
      <c r="G222" s="1" t="s">
        <v>17</v>
      </c>
      <c r="H222" s="13" t="s">
        <v>21</v>
      </c>
      <c r="I222" s="15">
        <v>0</v>
      </c>
      <c r="J222" s="13" t="s">
        <v>21</v>
      </c>
      <c r="K222" s="15">
        <v>0</v>
      </c>
      <c r="L222" s="19">
        <v>1</v>
      </c>
      <c r="M222" s="15">
        <v>4</v>
      </c>
    </row>
    <row r="223" spans="1:13" x14ac:dyDescent="0.3">
      <c r="A223" s="1" t="s">
        <v>456</v>
      </c>
      <c r="B223" s="1" t="s">
        <v>410</v>
      </c>
      <c r="C223" s="1" t="s">
        <v>15</v>
      </c>
      <c r="D223" s="2">
        <v>45569</v>
      </c>
      <c r="E223" s="13" t="s">
        <v>16</v>
      </c>
      <c r="F223" s="15">
        <v>15</v>
      </c>
      <c r="G223" s="1" t="s">
        <v>26</v>
      </c>
      <c r="H223" s="13" t="s">
        <v>16</v>
      </c>
      <c r="I223" s="15">
        <v>30</v>
      </c>
      <c r="J223" s="13" t="s">
        <v>16</v>
      </c>
      <c r="K223" s="15">
        <v>20</v>
      </c>
      <c r="L223">
        <v>7</v>
      </c>
      <c r="M223" s="15">
        <v>58</v>
      </c>
    </row>
    <row r="224" spans="1:13" x14ac:dyDescent="0.3">
      <c r="A224" s="1" t="s">
        <v>457</v>
      </c>
      <c r="B224" s="1" t="s">
        <v>112</v>
      </c>
      <c r="C224" s="1" t="s">
        <v>25</v>
      </c>
      <c r="D224" s="2">
        <v>45570</v>
      </c>
      <c r="E224" s="13" t="s">
        <v>21</v>
      </c>
      <c r="F224" s="15">
        <v>10</v>
      </c>
      <c r="G224" s="1" t="s">
        <v>17</v>
      </c>
      <c r="H224" s="13" t="s">
        <v>21</v>
      </c>
      <c r="I224" s="15">
        <v>0</v>
      </c>
      <c r="J224" s="13" t="s">
        <v>16</v>
      </c>
      <c r="K224" s="15">
        <v>20</v>
      </c>
      <c r="L224">
        <v>10</v>
      </c>
      <c r="M224" s="15">
        <v>20</v>
      </c>
    </row>
    <row r="225" spans="1:13" x14ac:dyDescent="0.3">
      <c r="A225" s="1" t="s">
        <v>458</v>
      </c>
      <c r="B225" s="1" t="s">
        <v>459</v>
      </c>
      <c r="C225" s="1" t="s">
        <v>20</v>
      </c>
      <c r="D225" s="2">
        <v>45571</v>
      </c>
      <c r="E225" s="13" t="s">
        <v>16</v>
      </c>
      <c r="F225" s="15">
        <v>5</v>
      </c>
      <c r="G225" s="1" t="s">
        <v>22</v>
      </c>
      <c r="H225" s="13" t="s">
        <v>21</v>
      </c>
      <c r="I225" s="15">
        <v>0</v>
      </c>
      <c r="J225" s="13" t="s">
        <v>21</v>
      </c>
      <c r="K225" s="15">
        <v>0</v>
      </c>
      <c r="L225" s="19">
        <v>0</v>
      </c>
      <c r="M225" s="15">
        <v>5</v>
      </c>
    </row>
    <row r="226" spans="1:13" x14ac:dyDescent="0.3">
      <c r="A226" s="1" t="s">
        <v>460</v>
      </c>
      <c r="B226" s="1" t="s">
        <v>461</v>
      </c>
      <c r="C226" s="1" t="s">
        <v>15</v>
      </c>
      <c r="D226" s="2">
        <v>45572</v>
      </c>
      <c r="E226" s="13" t="s">
        <v>21</v>
      </c>
      <c r="F226" s="15">
        <v>15</v>
      </c>
      <c r="G226" s="1" t="s">
        <v>17</v>
      </c>
      <c r="H226" s="13" t="s">
        <v>16</v>
      </c>
      <c r="I226" s="15">
        <v>30</v>
      </c>
      <c r="J226" s="13" t="s">
        <v>16</v>
      </c>
      <c r="K226" s="15">
        <v>20</v>
      </c>
      <c r="L226">
        <v>20</v>
      </c>
      <c r="M226" s="15">
        <v>45</v>
      </c>
    </row>
    <row r="227" spans="1:13" x14ac:dyDescent="0.3">
      <c r="A227" s="1" t="s">
        <v>462</v>
      </c>
      <c r="B227" s="1" t="s">
        <v>463</v>
      </c>
      <c r="C227" s="1" t="s">
        <v>25</v>
      </c>
      <c r="D227" s="2">
        <v>45573</v>
      </c>
      <c r="E227" s="13" t="s">
        <v>16</v>
      </c>
      <c r="F227" s="15">
        <v>10</v>
      </c>
      <c r="G227" s="1" t="s">
        <v>26</v>
      </c>
      <c r="H227" s="13" t="s">
        <v>21</v>
      </c>
      <c r="I227" s="15">
        <v>0</v>
      </c>
      <c r="J227" s="13" t="s">
        <v>16</v>
      </c>
      <c r="K227" s="15">
        <v>20</v>
      </c>
      <c r="L227">
        <v>15</v>
      </c>
      <c r="M227" s="15">
        <v>15</v>
      </c>
    </row>
    <row r="228" spans="1:13" x14ac:dyDescent="0.3">
      <c r="A228" s="1" t="s">
        <v>464</v>
      </c>
      <c r="B228" s="1" t="s">
        <v>465</v>
      </c>
      <c r="C228" s="1" t="s">
        <v>20</v>
      </c>
      <c r="D228" s="2">
        <v>45574</v>
      </c>
      <c r="E228" s="13" t="s">
        <v>21</v>
      </c>
      <c r="F228" s="15">
        <v>5</v>
      </c>
      <c r="G228" s="1" t="s">
        <v>17</v>
      </c>
      <c r="H228" s="13" t="s">
        <v>21</v>
      </c>
      <c r="I228" s="15">
        <v>0</v>
      </c>
      <c r="J228" s="13" t="s">
        <v>21</v>
      </c>
      <c r="K228" s="15">
        <v>0</v>
      </c>
      <c r="L228" s="19">
        <v>1</v>
      </c>
      <c r="M228" s="15">
        <v>4</v>
      </c>
    </row>
    <row r="229" spans="1:13" x14ac:dyDescent="0.3">
      <c r="A229" s="1" t="s">
        <v>466</v>
      </c>
      <c r="B229" s="1" t="s">
        <v>467</v>
      </c>
      <c r="C229" s="1" t="s">
        <v>15</v>
      </c>
      <c r="D229" s="2">
        <v>45575</v>
      </c>
      <c r="E229" s="13" t="s">
        <v>16</v>
      </c>
      <c r="F229" s="15">
        <v>15</v>
      </c>
      <c r="G229" s="1" t="s">
        <v>22</v>
      </c>
      <c r="H229" s="13" t="s">
        <v>16</v>
      </c>
      <c r="I229" s="15">
        <v>30</v>
      </c>
      <c r="J229" s="13" t="s">
        <v>16</v>
      </c>
      <c r="K229" s="15">
        <v>20</v>
      </c>
      <c r="L229">
        <v>3</v>
      </c>
      <c r="M229" s="15">
        <v>62</v>
      </c>
    </row>
    <row r="230" spans="1:13" x14ac:dyDescent="0.3">
      <c r="A230" s="1" t="s">
        <v>468</v>
      </c>
      <c r="B230" s="1" t="s">
        <v>469</v>
      </c>
      <c r="C230" s="1" t="s">
        <v>25</v>
      </c>
      <c r="D230" s="2">
        <v>45576</v>
      </c>
      <c r="E230" s="13" t="s">
        <v>21</v>
      </c>
      <c r="F230" s="15">
        <v>10</v>
      </c>
      <c r="G230" s="1" t="s">
        <v>17</v>
      </c>
      <c r="H230" s="13" t="s">
        <v>21</v>
      </c>
      <c r="I230" s="15">
        <v>0</v>
      </c>
      <c r="J230" s="13" t="s">
        <v>16</v>
      </c>
      <c r="K230" s="15">
        <v>20</v>
      </c>
      <c r="L230">
        <v>10</v>
      </c>
      <c r="M230" s="15">
        <v>20</v>
      </c>
    </row>
    <row r="231" spans="1:13" x14ac:dyDescent="0.3">
      <c r="A231" s="1" t="s">
        <v>470</v>
      </c>
      <c r="B231" s="1" t="s">
        <v>277</v>
      </c>
      <c r="C231" s="1" t="s">
        <v>20</v>
      </c>
      <c r="D231" s="2">
        <v>45577</v>
      </c>
      <c r="E231" s="13" t="s">
        <v>16</v>
      </c>
      <c r="F231" s="15">
        <v>5</v>
      </c>
      <c r="G231" s="1" t="s">
        <v>26</v>
      </c>
      <c r="H231" s="13" t="s">
        <v>21</v>
      </c>
      <c r="I231" s="15">
        <v>0</v>
      </c>
      <c r="J231" s="13" t="s">
        <v>21</v>
      </c>
      <c r="K231" s="15">
        <v>0</v>
      </c>
      <c r="L231" s="19">
        <v>0</v>
      </c>
      <c r="M231" s="15">
        <v>5</v>
      </c>
    </row>
    <row r="232" spans="1:13" x14ac:dyDescent="0.3">
      <c r="A232" s="1" t="s">
        <v>471</v>
      </c>
      <c r="B232" s="1" t="s">
        <v>472</v>
      </c>
      <c r="C232" s="1" t="s">
        <v>15</v>
      </c>
      <c r="D232" s="2">
        <v>45578</v>
      </c>
      <c r="E232" s="13" t="s">
        <v>21</v>
      </c>
      <c r="F232" s="15">
        <v>15</v>
      </c>
      <c r="G232" s="1" t="s">
        <v>17</v>
      </c>
      <c r="H232" s="13" t="s">
        <v>16</v>
      </c>
      <c r="I232" s="15">
        <v>30</v>
      </c>
      <c r="J232" s="13" t="s">
        <v>16</v>
      </c>
      <c r="K232" s="15">
        <v>20</v>
      </c>
      <c r="L232">
        <v>15</v>
      </c>
      <c r="M232" s="15">
        <v>50</v>
      </c>
    </row>
    <row r="233" spans="1:13" x14ac:dyDescent="0.3">
      <c r="A233" s="1" t="s">
        <v>473</v>
      </c>
      <c r="B233" s="1" t="s">
        <v>474</v>
      </c>
      <c r="C233" s="1" t="s">
        <v>25</v>
      </c>
      <c r="D233" s="2">
        <v>45579</v>
      </c>
      <c r="E233" s="13" t="s">
        <v>16</v>
      </c>
      <c r="F233" s="15">
        <v>10</v>
      </c>
      <c r="G233" s="1" t="s">
        <v>22</v>
      </c>
      <c r="H233" s="13" t="s">
        <v>21</v>
      </c>
      <c r="I233" s="15">
        <v>0</v>
      </c>
      <c r="J233" s="13" t="s">
        <v>16</v>
      </c>
      <c r="K233" s="15">
        <v>20</v>
      </c>
      <c r="L233">
        <v>15</v>
      </c>
      <c r="M233" s="15">
        <v>15</v>
      </c>
    </row>
    <row r="234" spans="1:13" x14ac:dyDescent="0.3">
      <c r="A234" s="1" t="s">
        <v>475</v>
      </c>
      <c r="B234" s="1" t="s">
        <v>476</v>
      </c>
      <c r="C234" s="1" t="s">
        <v>20</v>
      </c>
      <c r="D234" s="2">
        <v>45580</v>
      </c>
      <c r="E234" s="13" t="s">
        <v>21</v>
      </c>
      <c r="F234" s="15">
        <v>5</v>
      </c>
      <c r="G234" s="1" t="s">
        <v>17</v>
      </c>
      <c r="H234" s="13" t="s">
        <v>21</v>
      </c>
      <c r="I234" s="15">
        <v>0</v>
      </c>
      <c r="J234" s="13" t="s">
        <v>21</v>
      </c>
      <c r="K234" s="15">
        <v>0</v>
      </c>
      <c r="L234" s="19">
        <v>1</v>
      </c>
      <c r="M234" s="15">
        <v>4</v>
      </c>
    </row>
    <row r="235" spans="1:13" x14ac:dyDescent="0.3">
      <c r="A235" s="1" t="s">
        <v>477</v>
      </c>
      <c r="B235" s="1" t="s">
        <v>478</v>
      </c>
      <c r="C235" s="1" t="s">
        <v>15</v>
      </c>
      <c r="D235" s="2">
        <v>45581</v>
      </c>
      <c r="E235" s="13" t="s">
        <v>16</v>
      </c>
      <c r="F235" s="15">
        <v>15</v>
      </c>
      <c r="G235" s="1" t="s">
        <v>26</v>
      </c>
      <c r="H235" s="13" t="s">
        <v>16</v>
      </c>
      <c r="I235" s="15">
        <v>30</v>
      </c>
      <c r="J235" s="13" t="s">
        <v>16</v>
      </c>
      <c r="K235" s="15">
        <v>20</v>
      </c>
      <c r="L235">
        <v>7</v>
      </c>
      <c r="M235" s="15">
        <v>58</v>
      </c>
    </row>
    <row r="236" spans="1:13" x14ac:dyDescent="0.3">
      <c r="A236" s="1" t="s">
        <v>479</v>
      </c>
      <c r="B236" s="1" t="s">
        <v>480</v>
      </c>
      <c r="C236" s="1" t="s">
        <v>25</v>
      </c>
      <c r="D236" s="2">
        <v>45582</v>
      </c>
      <c r="E236" s="13" t="s">
        <v>21</v>
      </c>
      <c r="F236" s="15">
        <v>10</v>
      </c>
      <c r="G236" s="1" t="s">
        <v>17</v>
      </c>
      <c r="H236" s="13" t="s">
        <v>21</v>
      </c>
      <c r="I236" s="15">
        <v>0</v>
      </c>
      <c r="J236" s="13" t="s">
        <v>16</v>
      </c>
      <c r="K236" s="15">
        <v>20</v>
      </c>
      <c r="L236">
        <v>10</v>
      </c>
      <c r="M236" s="15">
        <v>20</v>
      </c>
    </row>
    <row r="237" spans="1:13" x14ac:dyDescent="0.3">
      <c r="A237" s="1" t="s">
        <v>481</v>
      </c>
      <c r="B237" s="1" t="s">
        <v>482</v>
      </c>
      <c r="C237" s="1" t="s">
        <v>20</v>
      </c>
      <c r="D237" s="2">
        <v>45583</v>
      </c>
      <c r="E237" s="13" t="s">
        <v>16</v>
      </c>
      <c r="F237" s="15">
        <v>5</v>
      </c>
      <c r="G237" s="1" t="s">
        <v>22</v>
      </c>
      <c r="H237" s="13" t="s">
        <v>21</v>
      </c>
      <c r="I237" s="15">
        <v>0</v>
      </c>
      <c r="J237" s="13" t="s">
        <v>21</v>
      </c>
      <c r="K237" s="15">
        <v>0</v>
      </c>
      <c r="L237" s="19">
        <v>0</v>
      </c>
      <c r="M237" s="15">
        <v>5</v>
      </c>
    </row>
    <row r="238" spans="1:13" x14ac:dyDescent="0.3">
      <c r="A238" s="1" t="s">
        <v>483</v>
      </c>
      <c r="B238" s="1" t="s">
        <v>484</v>
      </c>
      <c r="C238" s="1" t="s">
        <v>15</v>
      </c>
      <c r="D238" s="2">
        <v>45584</v>
      </c>
      <c r="E238" s="13" t="s">
        <v>21</v>
      </c>
      <c r="F238" s="15">
        <v>15</v>
      </c>
      <c r="G238" s="1" t="s">
        <v>17</v>
      </c>
      <c r="H238" s="13" t="s">
        <v>16</v>
      </c>
      <c r="I238" s="15">
        <v>30</v>
      </c>
      <c r="J238" s="13" t="s">
        <v>16</v>
      </c>
      <c r="K238" s="15">
        <v>20</v>
      </c>
      <c r="L238">
        <v>15</v>
      </c>
      <c r="M238" s="15">
        <v>50</v>
      </c>
    </row>
    <row r="239" spans="1:13" x14ac:dyDescent="0.3">
      <c r="A239" s="1" t="s">
        <v>485</v>
      </c>
      <c r="B239" s="1" t="s">
        <v>486</v>
      </c>
      <c r="C239" s="1" t="s">
        <v>25</v>
      </c>
      <c r="D239" s="2">
        <v>45585</v>
      </c>
      <c r="E239" s="13" t="s">
        <v>16</v>
      </c>
      <c r="F239" s="15">
        <v>10</v>
      </c>
      <c r="G239" s="1" t="s">
        <v>26</v>
      </c>
      <c r="H239" s="13" t="s">
        <v>21</v>
      </c>
      <c r="I239" s="15">
        <v>0</v>
      </c>
      <c r="J239" s="13" t="s">
        <v>16</v>
      </c>
      <c r="K239" s="15">
        <v>20</v>
      </c>
      <c r="L239">
        <v>12</v>
      </c>
      <c r="M239" s="15">
        <v>18</v>
      </c>
    </row>
    <row r="240" spans="1:13" x14ac:dyDescent="0.3">
      <c r="A240" s="1" t="s">
        <v>487</v>
      </c>
      <c r="B240" s="1" t="s">
        <v>488</v>
      </c>
      <c r="C240" s="1" t="s">
        <v>20</v>
      </c>
      <c r="D240" s="2">
        <v>45586</v>
      </c>
      <c r="E240" s="13" t="s">
        <v>21</v>
      </c>
      <c r="F240" s="15">
        <v>5</v>
      </c>
      <c r="G240" s="1" t="s">
        <v>17</v>
      </c>
      <c r="H240" s="13" t="s">
        <v>21</v>
      </c>
      <c r="I240" s="15">
        <v>0</v>
      </c>
      <c r="J240" s="13" t="s">
        <v>21</v>
      </c>
      <c r="K240" s="15">
        <v>0</v>
      </c>
      <c r="L240" s="19">
        <v>2</v>
      </c>
      <c r="M240" s="15">
        <v>3</v>
      </c>
    </row>
    <row r="241" spans="1:13" x14ac:dyDescent="0.3">
      <c r="A241" s="1" t="s">
        <v>489</v>
      </c>
      <c r="B241" s="1" t="s">
        <v>490</v>
      </c>
      <c r="C241" s="1" t="s">
        <v>15</v>
      </c>
      <c r="D241" s="2">
        <v>45587</v>
      </c>
      <c r="E241" s="13" t="s">
        <v>16</v>
      </c>
      <c r="F241" s="15">
        <v>15</v>
      </c>
      <c r="G241" s="1" t="s">
        <v>22</v>
      </c>
      <c r="H241" s="13" t="s">
        <v>16</v>
      </c>
      <c r="I241" s="15">
        <v>30</v>
      </c>
      <c r="J241" s="13" t="s">
        <v>16</v>
      </c>
      <c r="K241" s="15">
        <v>20</v>
      </c>
      <c r="L241">
        <v>5</v>
      </c>
      <c r="M241" s="15">
        <v>60</v>
      </c>
    </row>
    <row r="242" spans="1:13" x14ac:dyDescent="0.3">
      <c r="A242" s="1" t="s">
        <v>491</v>
      </c>
      <c r="B242" s="1" t="s">
        <v>492</v>
      </c>
      <c r="C242" s="1" t="s">
        <v>25</v>
      </c>
      <c r="D242" s="2">
        <v>45588</v>
      </c>
      <c r="E242" s="13" t="s">
        <v>21</v>
      </c>
      <c r="F242" s="15">
        <v>10</v>
      </c>
      <c r="G242" s="1" t="s">
        <v>17</v>
      </c>
      <c r="H242" s="13" t="s">
        <v>21</v>
      </c>
      <c r="I242" s="15">
        <v>0</v>
      </c>
      <c r="J242" s="13" t="s">
        <v>16</v>
      </c>
      <c r="K242" s="15">
        <v>20</v>
      </c>
      <c r="L242">
        <v>10</v>
      </c>
      <c r="M242" s="15">
        <v>20</v>
      </c>
    </row>
    <row r="243" spans="1:13" x14ac:dyDescent="0.3">
      <c r="A243" s="1" t="s">
        <v>493</v>
      </c>
      <c r="B243" s="1" t="s">
        <v>494</v>
      </c>
      <c r="C243" s="1" t="s">
        <v>20</v>
      </c>
      <c r="D243" s="2">
        <v>45589</v>
      </c>
      <c r="E243" s="13" t="s">
        <v>16</v>
      </c>
      <c r="F243" s="15">
        <v>5</v>
      </c>
      <c r="G243" s="1" t="s">
        <v>26</v>
      </c>
      <c r="H243" s="13" t="s">
        <v>21</v>
      </c>
      <c r="I243" s="15">
        <v>0</v>
      </c>
      <c r="J243" s="13" t="s">
        <v>21</v>
      </c>
      <c r="K243" s="15">
        <v>0</v>
      </c>
      <c r="L243" s="19">
        <v>0</v>
      </c>
      <c r="M243" s="15">
        <v>5</v>
      </c>
    </row>
    <row r="244" spans="1:13" x14ac:dyDescent="0.3">
      <c r="A244" s="1" t="s">
        <v>495</v>
      </c>
      <c r="B244" s="1" t="s">
        <v>303</v>
      </c>
      <c r="C244" s="1" t="s">
        <v>15</v>
      </c>
      <c r="D244" s="2">
        <v>45590</v>
      </c>
      <c r="E244" s="13" t="s">
        <v>21</v>
      </c>
      <c r="F244" s="15">
        <v>15</v>
      </c>
      <c r="G244" s="1" t="s">
        <v>17</v>
      </c>
      <c r="H244" s="13" t="s">
        <v>16</v>
      </c>
      <c r="I244" s="15">
        <v>30</v>
      </c>
      <c r="J244" s="13" t="s">
        <v>16</v>
      </c>
      <c r="K244" s="15">
        <v>20</v>
      </c>
      <c r="L244">
        <v>3</v>
      </c>
      <c r="M244" s="15">
        <v>62</v>
      </c>
    </row>
    <row r="245" spans="1:13" x14ac:dyDescent="0.3">
      <c r="A245" s="1" t="s">
        <v>496</v>
      </c>
      <c r="B245" s="1" t="s">
        <v>497</v>
      </c>
      <c r="C245" s="1" t="s">
        <v>25</v>
      </c>
      <c r="D245" s="2">
        <v>45591</v>
      </c>
      <c r="E245" s="13" t="s">
        <v>16</v>
      </c>
      <c r="F245" s="15">
        <v>10</v>
      </c>
      <c r="G245" s="1" t="s">
        <v>22</v>
      </c>
      <c r="H245" s="13" t="s">
        <v>21</v>
      </c>
      <c r="I245" s="15">
        <v>0</v>
      </c>
      <c r="J245" s="13" t="s">
        <v>16</v>
      </c>
      <c r="K245" s="15">
        <v>20</v>
      </c>
      <c r="L245">
        <v>15</v>
      </c>
      <c r="M245" s="15">
        <v>15</v>
      </c>
    </row>
    <row r="246" spans="1:13" x14ac:dyDescent="0.3">
      <c r="A246" s="1" t="s">
        <v>498</v>
      </c>
      <c r="B246" s="1" t="s">
        <v>499</v>
      </c>
      <c r="C246" s="1" t="s">
        <v>20</v>
      </c>
      <c r="D246" s="2">
        <v>45592</v>
      </c>
      <c r="E246" s="13" t="s">
        <v>21</v>
      </c>
      <c r="F246" s="15">
        <v>5</v>
      </c>
      <c r="G246" s="1" t="s">
        <v>17</v>
      </c>
      <c r="H246" s="13" t="s">
        <v>21</v>
      </c>
      <c r="I246" s="15">
        <v>0</v>
      </c>
      <c r="J246" s="13" t="s">
        <v>21</v>
      </c>
      <c r="K246" s="15">
        <v>0</v>
      </c>
      <c r="L246" s="19">
        <v>1</v>
      </c>
      <c r="M246" s="15">
        <v>4</v>
      </c>
    </row>
    <row r="247" spans="1:13" x14ac:dyDescent="0.3">
      <c r="A247" s="1" t="s">
        <v>500</v>
      </c>
      <c r="B247" s="1" t="s">
        <v>501</v>
      </c>
      <c r="C247" s="1" t="s">
        <v>15</v>
      </c>
      <c r="D247" s="2">
        <v>45593</v>
      </c>
      <c r="E247" s="13" t="s">
        <v>16</v>
      </c>
      <c r="F247" s="15">
        <v>15</v>
      </c>
      <c r="G247" s="1" t="s">
        <v>26</v>
      </c>
      <c r="H247" s="13" t="s">
        <v>16</v>
      </c>
      <c r="I247" s="15">
        <v>30</v>
      </c>
      <c r="J247" s="13" t="s">
        <v>16</v>
      </c>
      <c r="K247" s="15">
        <v>20</v>
      </c>
      <c r="L247">
        <v>7</v>
      </c>
      <c r="M247" s="15">
        <v>58</v>
      </c>
    </row>
    <row r="248" spans="1:13" x14ac:dyDescent="0.3">
      <c r="A248" s="1" t="s">
        <v>502</v>
      </c>
      <c r="B248" s="1" t="s">
        <v>503</v>
      </c>
      <c r="C248" s="1" t="s">
        <v>25</v>
      </c>
      <c r="D248" s="2">
        <v>45594</v>
      </c>
      <c r="E248" s="13" t="s">
        <v>21</v>
      </c>
      <c r="F248" s="15">
        <v>10</v>
      </c>
      <c r="G248" s="1" t="s">
        <v>17</v>
      </c>
      <c r="H248" s="13" t="s">
        <v>21</v>
      </c>
      <c r="I248" s="15">
        <v>0</v>
      </c>
      <c r="J248" s="13" t="s">
        <v>16</v>
      </c>
      <c r="K248" s="15">
        <v>20</v>
      </c>
      <c r="L248">
        <v>10</v>
      </c>
      <c r="M248" s="15">
        <v>20</v>
      </c>
    </row>
    <row r="249" spans="1:13" x14ac:dyDescent="0.3">
      <c r="A249" s="1" t="s">
        <v>504</v>
      </c>
      <c r="B249" s="1" t="s">
        <v>505</v>
      </c>
      <c r="C249" s="1" t="s">
        <v>20</v>
      </c>
      <c r="D249" s="2">
        <v>45595</v>
      </c>
      <c r="E249" s="13" t="s">
        <v>16</v>
      </c>
      <c r="F249" s="15">
        <v>5</v>
      </c>
      <c r="G249" s="1" t="s">
        <v>22</v>
      </c>
      <c r="H249" s="13" t="s">
        <v>21</v>
      </c>
      <c r="I249" s="15">
        <v>0</v>
      </c>
      <c r="J249" s="13" t="s">
        <v>21</v>
      </c>
      <c r="K249" s="15">
        <v>0</v>
      </c>
      <c r="L249" s="19">
        <v>0</v>
      </c>
      <c r="M249" s="15">
        <v>5</v>
      </c>
    </row>
    <row r="250" spans="1:13" x14ac:dyDescent="0.3">
      <c r="A250" s="1" t="s">
        <v>506</v>
      </c>
      <c r="B250" s="1" t="s">
        <v>507</v>
      </c>
      <c r="C250" s="1" t="s">
        <v>15</v>
      </c>
      <c r="D250" s="2">
        <v>45596</v>
      </c>
      <c r="E250" s="13" t="s">
        <v>21</v>
      </c>
      <c r="F250" s="15">
        <v>15</v>
      </c>
      <c r="G250" s="1" t="s">
        <v>17</v>
      </c>
      <c r="H250" s="13" t="s">
        <v>16</v>
      </c>
      <c r="I250" s="15">
        <v>30</v>
      </c>
      <c r="J250" s="13" t="s">
        <v>16</v>
      </c>
      <c r="K250" s="15">
        <v>20</v>
      </c>
      <c r="L250">
        <v>20</v>
      </c>
      <c r="M250" s="15">
        <v>45</v>
      </c>
    </row>
    <row r="251" spans="1:13" x14ac:dyDescent="0.3">
      <c r="A251" s="1" t="s">
        <v>508</v>
      </c>
      <c r="B251" s="1" t="s">
        <v>509</v>
      </c>
      <c r="C251" s="1" t="s">
        <v>25</v>
      </c>
      <c r="D251" s="2">
        <v>45597</v>
      </c>
      <c r="E251" s="13" t="s">
        <v>16</v>
      </c>
      <c r="F251" s="15">
        <v>10</v>
      </c>
      <c r="G251" s="1" t="s">
        <v>26</v>
      </c>
      <c r="H251" s="13" t="s">
        <v>21</v>
      </c>
      <c r="I251" s="15">
        <v>0</v>
      </c>
      <c r="J251" s="13" t="s">
        <v>16</v>
      </c>
      <c r="K251" s="15">
        <v>20</v>
      </c>
      <c r="L251">
        <v>15</v>
      </c>
      <c r="M251" s="15">
        <v>15</v>
      </c>
    </row>
    <row r="252" spans="1:13" x14ac:dyDescent="0.3">
      <c r="A252" s="1" t="s">
        <v>510</v>
      </c>
      <c r="B252" s="1" t="s">
        <v>511</v>
      </c>
      <c r="C252" s="1" t="s">
        <v>20</v>
      </c>
      <c r="D252" s="2">
        <v>45598</v>
      </c>
      <c r="E252" s="13" t="s">
        <v>21</v>
      </c>
      <c r="F252" s="15">
        <v>5</v>
      </c>
      <c r="G252" s="1" t="s">
        <v>17</v>
      </c>
      <c r="H252" s="13" t="s">
        <v>21</v>
      </c>
      <c r="I252" s="15">
        <v>0</v>
      </c>
      <c r="J252" s="13" t="s">
        <v>21</v>
      </c>
      <c r="K252" s="15">
        <v>0</v>
      </c>
      <c r="L252" s="19">
        <v>1</v>
      </c>
      <c r="M252" s="15">
        <v>4</v>
      </c>
    </row>
    <row r="253" spans="1:13" x14ac:dyDescent="0.3">
      <c r="A253" s="1" t="s">
        <v>512</v>
      </c>
      <c r="B253" s="1" t="s">
        <v>513</v>
      </c>
      <c r="C253" s="1" t="s">
        <v>15</v>
      </c>
      <c r="D253" s="2">
        <v>45599</v>
      </c>
      <c r="E253" s="13" t="s">
        <v>16</v>
      </c>
      <c r="F253" s="15">
        <v>15</v>
      </c>
      <c r="G253" s="1" t="s">
        <v>22</v>
      </c>
      <c r="H253" s="13" t="s">
        <v>16</v>
      </c>
      <c r="I253" s="15">
        <v>30</v>
      </c>
      <c r="J253" s="13" t="s">
        <v>16</v>
      </c>
      <c r="K253" s="15">
        <v>20</v>
      </c>
      <c r="L253">
        <v>3</v>
      </c>
      <c r="M253" s="15">
        <v>62</v>
      </c>
    </row>
    <row r="254" spans="1:13" x14ac:dyDescent="0.3">
      <c r="A254" s="1" t="s">
        <v>514</v>
      </c>
      <c r="B254" s="1" t="s">
        <v>515</v>
      </c>
      <c r="C254" s="1" t="s">
        <v>25</v>
      </c>
      <c r="D254" s="2">
        <v>45600</v>
      </c>
      <c r="E254" s="13" t="s">
        <v>21</v>
      </c>
      <c r="F254" s="15">
        <v>10</v>
      </c>
      <c r="G254" s="1" t="s">
        <v>17</v>
      </c>
      <c r="H254" s="13" t="s">
        <v>21</v>
      </c>
      <c r="I254" s="15">
        <v>0</v>
      </c>
      <c r="J254" s="13" t="s">
        <v>16</v>
      </c>
      <c r="K254" s="15">
        <v>20</v>
      </c>
      <c r="L254">
        <v>10</v>
      </c>
      <c r="M254" s="15">
        <v>20</v>
      </c>
    </row>
    <row r="255" spans="1:13" x14ac:dyDescent="0.3">
      <c r="A255" s="1" t="s">
        <v>516</v>
      </c>
      <c r="B255" s="1" t="s">
        <v>517</v>
      </c>
      <c r="C255" s="1" t="s">
        <v>20</v>
      </c>
      <c r="D255" s="2">
        <v>45601</v>
      </c>
      <c r="E255" s="13" t="s">
        <v>16</v>
      </c>
      <c r="F255" s="15">
        <v>5</v>
      </c>
      <c r="G255" s="1" t="s">
        <v>26</v>
      </c>
      <c r="H255" s="13" t="s">
        <v>21</v>
      </c>
      <c r="I255" s="15">
        <v>0</v>
      </c>
      <c r="J255" s="13" t="s">
        <v>21</v>
      </c>
      <c r="K255" s="15">
        <v>0</v>
      </c>
      <c r="L255" s="19">
        <v>0</v>
      </c>
      <c r="M255" s="15">
        <v>5</v>
      </c>
    </row>
    <row r="256" spans="1:13" x14ac:dyDescent="0.3">
      <c r="A256" s="1" t="s">
        <v>518</v>
      </c>
      <c r="B256" s="1" t="s">
        <v>519</v>
      </c>
      <c r="C256" s="1" t="s">
        <v>15</v>
      </c>
      <c r="D256" s="2">
        <v>45602</v>
      </c>
      <c r="E256" s="13" t="s">
        <v>21</v>
      </c>
      <c r="F256" s="15">
        <v>15</v>
      </c>
      <c r="G256" s="1" t="s">
        <v>17</v>
      </c>
      <c r="H256" s="13" t="s">
        <v>16</v>
      </c>
      <c r="I256" s="15">
        <v>30</v>
      </c>
      <c r="J256" s="13" t="s">
        <v>16</v>
      </c>
      <c r="K256" s="15">
        <v>20</v>
      </c>
      <c r="L256">
        <v>15</v>
      </c>
      <c r="M256" s="15">
        <v>50</v>
      </c>
    </row>
    <row r="257" spans="1:13" x14ac:dyDescent="0.3">
      <c r="A257" s="1" t="s">
        <v>520</v>
      </c>
      <c r="B257" s="1" t="s">
        <v>521</v>
      </c>
      <c r="C257" s="1" t="s">
        <v>20</v>
      </c>
      <c r="D257" s="2">
        <v>45603</v>
      </c>
      <c r="E257" s="13" t="s">
        <v>16</v>
      </c>
      <c r="F257" s="15">
        <v>5</v>
      </c>
      <c r="G257" s="1" t="s">
        <v>17</v>
      </c>
      <c r="H257" s="13" t="s">
        <v>21</v>
      </c>
      <c r="I257" s="15">
        <v>0</v>
      </c>
      <c r="J257" s="13" t="s">
        <v>21</v>
      </c>
      <c r="K257" s="15">
        <v>0</v>
      </c>
      <c r="L257" s="19">
        <v>0</v>
      </c>
      <c r="M257" s="15">
        <v>5</v>
      </c>
    </row>
    <row r="258" spans="1:13" x14ac:dyDescent="0.3">
      <c r="A258" s="1" t="s">
        <v>522</v>
      </c>
      <c r="B258" s="1" t="s">
        <v>523</v>
      </c>
      <c r="C258" s="1" t="s">
        <v>15</v>
      </c>
      <c r="D258" s="2">
        <v>45604</v>
      </c>
      <c r="E258" s="13" t="s">
        <v>21</v>
      </c>
      <c r="F258" s="15">
        <v>15</v>
      </c>
      <c r="G258" s="1" t="s">
        <v>26</v>
      </c>
      <c r="H258" s="13" t="s">
        <v>16</v>
      </c>
      <c r="I258" s="15">
        <v>30</v>
      </c>
      <c r="J258" s="13" t="s">
        <v>16</v>
      </c>
      <c r="K258" s="15">
        <v>20</v>
      </c>
      <c r="L258">
        <v>7</v>
      </c>
      <c r="M258" s="15">
        <v>58</v>
      </c>
    </row>
    <row r="259" spans="1:13" x14ac:dyDescent="0.3">
      <c r="A259" s="1" t="s">
        <v>524</v>
      </c>
      <c r="B259" s="1" t="s">
        <v>525</v>
      </c>
      <c r="C259" s="1" t="s">
        <v>25</v>
      </c>
      <c r="D259" s="2">
        <v>45605</v>
      </c>
      <c r="E259" s="13" t="s">
        <v>16</v>
      </c>
      <c r="F259" s="15">
        <v>10</v>
      </c>
      <c r="G259" s="1" t="s">
        <v>22</v>
      </c>
      <c r="H259" s="13" t="s">
        <v>21</v>
      </c>
      <c r="I259" s="15">
        <v>0</v>
      </c>
      <c r="J259" s="13" t="s">
        <v>16</v>
      </c>
      <c r="K259" s="15">
        <v>20</v>
      </c>
      <c r="L259">
        <v>10</v>
      </c>
      <c r="M259" s="15">
        <v>20</v>
      </c>
    </row>
    <row r="260" spans="1:13" x14ac:dyDescent="0.3">
      <c r="A260" s="1" t="s">
        <v>526</v>
      </c>
      <c r="B260" s="1" t="s">
        <v>527</v>
      </c>
      <c r="C260" s="1" t="s">
        <v>20</v>
      </c>
      <c r="D260" s="2">
        <v>45606</v>
      </c>
      <c r="E260" s="13" t="s">
        <v>21</v>
      </c>
      <c r="F260" s="15">
        <v>5</v>
      </c>
      <c r="G260" s="1" t="s">
        <v>26</v>
      </c>
      <c r="H260" s="13" t="s">
        <v>21</v>
      </c>
      <c r="I260" s="15">
        <v>0</v>
      </c>
      <c r="J260" s="13" t="s">
        <v>21</v>
      </c>
      <c r="K260" s="15">
        <v>0</v>
      </c>
      <c r="L260" s="19">
        <v>1</v>
      </c>
      <c r="M260" s="15">
        <v>4</v>
      </c>
    </row>
    <row r="261" spans="1:13" x14ac:dyDescent="0.3">
      <c r="A261" s="1" t="s">
        <v>528</v>
      </c>
      <c r="B261" s="1" t="s">
        <v>529</v>
      </c>
      <c r="C261" s="1" t="s">
        <v>15</v>
      </c>
      <c r="D261" s="2">
        <v>45607</v>
      </c>
      <c r="E261" s="13" t="s">
        <v>16</v>
      </c>
      <c r="F261" s="15">
        <v>15</v>
      </c>
      <c r="G261" s="1" t="s">
        <v>17</v>
      </c>
      <c r="H261" s="13" t="s">
        <v>16</v>
      </c>
      <c r="I261" s="15">
        <v>30</v>
      </c>
      <c r="J261" s="13" t="s">
        <v>16</v>
      </c>
      <c r="K261" s="15">
        <v>20</v>
      </c>
      <c r="L261">
        <v>15</v>
      </c>
      <c r="M261" s="15">
        <v>50</v>
      </c>
    </row>
    <row r="262" spans="1:13" x14ac:dyDescent="0.3">
      <c r="A262" s="1" t="s">
        <v>530</v>
      </c>
      <c r="B262" s="1" t="s">
        <v>531</v>
      </c>
      <c r="C262" s="1" t="s">
        <v>25</v>
      </c>
      <c r="D262" s="2">
        <v>45608</v>
      </c>
      <c r="E262" s="13" t="s">
        <v>21</v>
      </c>
      <c r="F262" s="15">
        <v>10</v>
      </c>
      <c r="G262" s="1" t="s">
        <v>17</v>
      </c>
      <c r="H262" s="13" t="s">
        <v>21</v>
      </c>
      <c r="I262" s="15">
        <v>0</v>
      </c>
      <c r="J262" s="13" t="s">
        <v>16</v>
      </c>
      <c r="K262" s="15">
        <v>20</v>
      </c>
      <c r="L262">
        <v>5</v>
      </c>
      <c r="M262" s="15">
        <v>25</v>
      </c>
    </row>
    <row r="263" spans="1:13" x14ac:dyDescent="0.3">
      <c r="A263" s="1" t="s">
        <v>532</v>
      </c>
      <c r="B263" s="1" t="s">
        <v>533</v>
      </c>
      <c r="C263" s="1" t="s">
        <v>20</v>
      </c>
      <c r="D263" s="2">
        <v>45609</v>
      </c>
      <c r="E263" s="13" t="s">
        <v>16</v>
      </c>
      <c r="F263" s="15">
        <v>5</v>
      </c>
      <c r="G263" s="1" t="s">
        <v>22</v>
      </c>
      <c r="H263" s="13" t="s">
        <v>21</v>
      </c>
      <c r="I263" s="15">
        <v>0</v>
      </c>
      <c r="J263" s="13" t="s">
        <v>21</v>
      </c>
      <c r="K263" s="15">
        <v>0</v>
      </c>
      <c r="L263" s="19">
        <v>0</v>
      </c>
      <c r="M263" s="15">
        <v>5</v>
      </c>
    </row>
    <row r="264" spans="1:13" x14ac:dyDescent="0.3">
      <c r="A264" s="1" t="s">
        <v>534</v>
      </c>
      <c r="B264" s="1" t="s">
        <v>535</v>
      </c>
      <c r="C264" s="1" t="s">
        <v>15</v>
      </c>
      <c r="D264" s="2">
        <v>45610</v>
      </c>
      <c r="E264" s="13" t="s">
        <v>21</v>
      </c>
      <c r="F264" s="15">
        <v>15</v>
      </c>
      <c r="G264" s="1" t="s">
        <v>26</v>
      </c>
      <c r="H264" s="13" t="s">
        <v>16</v>
      </c>
      <c r="I264" s="15">
        <v>30</v>
      </c>
      <c r="J264" s="13" t="s">
        <v>16</v>
      </c>
      <c r="K264" s="15">
        <v>20</v>
      </c>
      <c r="L264">
        <v>20</v>
      </c>
      <c r="M264" s="15">
        <v>45</v>
      </c>
    </row>
    <row r="265" spans="1:13" x14ac:dyDescent="0.3">
      <c r="A265" s="1" t="s">
        <v>536</v>
      </c>
      <c r="B265" s="1" t="s">
        <v>537</v>
      </c>
      <c r="C265" s="1" t="s">
        <v>25</v>
      </c>
      <c r="D265" s="2">
        <v>45611</v>
      </c>
      <c r="E265" s="13" t="s">
        <v>16</v>
      </c>
      <c r="F265" s="15">
        <v>10</v>
      </c>
      <c r="G265" s="1" t="s">
        <v>26</v>
      </c>
      <c r="H265" s="13" t="s">
        <v>21</v>
      </c>
      <c r="I265" s="15">
        <v>0</v>
      </c>
      <c r="J265" s="13" t="s">
        <v>16</v>
      </c>
      <c r="K265" s="15">
        <v>20</v>
      </c>
      <c r="L265">
        <v>12</v>
      </c>
      <c r="M265" s="15">
        <v>18</v>
      </c>
    </row>
    <row r="266" spans="1:13" x14ac:dyDescent="0.3">
      <c r="A266" s="1" t="s">
        <v>538</v>
      </c>
      <c r="B266" s="1" t="s">
        <v>539</v>
      </c>
      <c r="C266" s="1" t="s">
        <v>20</v>
      </c>
      <c r="D266" s="2">
        <v>45612</v>
      </c>
      <c r="E266" s="13" t="s">
        <v>21</v>
      </c>
      <c r="F266" s="15">
        <v>5</v>
      </c>
      <c r="G266" s="1" t="s">
        <v>17</v>
      </c>
      <c r="H266" s="13" t="s">
        <v>21</v>
      </c>
      <c r="I266" s="15">
        <v>0</v>
      </c>
      <c r="J266" s="13" t="s">
        <v>21</v>
      </c>
      <c r="K266" s="15">
        <v>0</v>
      </c>
      <c r="L266" s="19">
        <v>2</v>
      </c>
      <c r="M266" s="15">
        <v>3</v>
      </c>
    </row>
    <row r="267" spans="1:13" x14ac:dyDescent="0.3">
      <c r="A267" s="1" t="s">
        <v>540</v>
      </c>
      <c r="B267" s="1" t="s">
        <v>541</v>
      </c>
      <c r="C267" s="1" t="s">
        <v>15</v>
      </c>
      <c r="D267" s="2">
        <v>45613</v>
      </c>
      <c r="E267" s="13" t="s">
        <v>16</v>
      </c>
      <c r="F267" s="15">
        <v>15</v>
      </c>
      <c r="G267" s="1" t="s">
        <v>22</v>
      </c>
      <c r="H267" s="13" t="s">
        <v>16</v>
      </c>
      <c r="I267" s="15">
        <v>30</v>
      </c>
      <c r="J267" s="13" t="s">
        <v>16</v>
      </c>
      <c r="K267" s="15">
        <v>20</v>
      </c>
      <c r="L267">
        <v>5</v>
      </c>
      <c r="M267" s="15">
        <v>60</v>
      </c>
    </row>
    <row r="268" spans="1:13" x14ac:dyDescent="0.3">
      <c r="A268" s="1" t="s">
        <v>542</v>
      </c>
      <c r="B268" s="1" t="s">
        <v>543</v>
      </c>
      <c r="C268" s="1" t="s">
        <v>25</v>
      </c>
      <c r="D268" s="2">
        <v>45614</v>
      </c>
      <c r="E268" s="13" t="s">
        <v>21</v>
      </c>
      <c r="F268" s="15">
        <v>10</v>
      </c>
      <c r="G268" s="1" t="s">
        <v>17</v>
      </c>
      <c r="H268" s="13" t="s">
        <v>21</v>
      </c>
      <c r="I268" s="15">
        <v>0</v>
      </c>
      <c r="J268" s="13" t="s">
        <v>16</v>
      </c>
      <c r="K268" s="15">
        <v>20</v>
      </c>
      <c r="L268">
        <v>10</v>
      </c>
      <c r="M268" s="15">
        <v>20</v>
      </c>
    </row>
    <row r="269" spans="1:13" x14ac:dyDescent="0.3">
      <c r="A269" s="1" t="s">
        <v>544</v>
      </c>
      <c r="B269" s="1" t="s">
        <v>545</v>
      </c>
      <c r="C269" s="1" t="s">
        <v>20</v>
      </c>
      <c r="D269" s="2">
        <v>45615</v>
      </c>
      <c r="E269" s="13" t="s">
        <v>16</v>
      </c>
      <c r="F269" s="15">
        <v>5</v>
      </c>
      <c r="G269" s="1" t="s">
        <v>26</v>
      </c>
      <c r="H269" s="13" t="s">
        <v>21</v>
      </c>
      <c r="I269" s="15">
        <v>0</v>
      </c>
      <c r="J269" s="13" t="s">
        <v>21</v>
      </c>
      <c r="K269" s="15">
        <v>0</v>
      </c>
      <c r="L269" s="19">
        <v>0</v>
      </c>
      <c r="M269" s="15">
        <v>5</v>
      </c>
    </row>
    <row r="270" spans="1:13" x14ac:dyDescent="0.3">
      <c r="A270" s="1" t="s">
        <v>546</v>
      </c>
      <c r="B270" s="1" t="s">
        <v>547</v>
      </c>
      <c r="C270" s="1" t="s">
        <v>15</v>
      </c>
      <c r="D270" s="2">
        <v>45616</v>
      </c>
      <c r="E270" s="13" t="s">
        <v>21</v>
      </c>
      <c r="F270" s="15">
        <v>15</v>
      </c>
      <c r="G270" s="1" t="s">
        <v>17</v>
      </c>
      <c r="H270" s="13" t="s">
        <v>16</v>
      </c>
      <c r="I270" s="15">
        <v>30</v>
      </c>
      <c r="J270" s="13" t="s">
        <v>16</v>
      </c>
      <c r="K270" s="15">
        <v>20</v>
      </c>
      <c r="L270">
        <v>3</v>
      </c>
      <c r="M270" s="15">
        <v>62</v>
      </c>
    </row>
    <row r="271" spans="1:13" x14ac:dyDescent="0.3">
      <c r="A271" s="1" t="s">
        <v>548</v>
      </c>
      <c r="B271" s="1" t="s">
        <v>549</v>
      </c>
      <c r="C271" s="1" t="s">
        <v>25</v>
      </c>
      <c r="D271" s="2">
        <v>45617</v>
      </c>
      <c r="E271" s="13" t="s">
        <v>16</v>
      </c>
      <c r="F271" s="15">
        <v>10</v>
      </c>
      <c r="G271" s="1" t="s">
        <v>22</v>
      </c>
      <c r="H271" s="13" t="s">
        <v>21</v>
      </c>
      <c r="I271" s="15">
        <v>0</v>
      </c>
      <c r="J271" s="13" t="s">
        <v>16</v>
      </c>
      <c r="K271" s="15">
        <v>20</v>
      </c>
      <c r="L271">
        <v>15</v>
      </c>
      <c r="M271" s="15">
        <v>15</v>
      </c>
    </row>
    <row r="272" spans="1:13" x14ac:dyDescent="0.3">
      <c r="A272" s="1" t="s">
        <v>550</v>
      </c>
      <c r="B272" s="1" t="s">
        <v>551</v>
      </c>
      <c r="C272" s="1" t="s">
        <v>20</v>
      </c>
      <c r="D272" s="2">
        <v>45618</v>
      </c>
      <c r="E272" s="13" t="s">
        <v>21</v>
      </c>
      <c r="F272" s="15">
        <v>5</v>
      </c>
      <c r="G272" s="1" t="s">
        <v>17</v>
      </c>
      <c r="H272" s="13" t="s">
        <v>21</v>
      </c>
      <c r="I272" s="15">
        <v>0</v>
      </c>
      <c r="J272" s="13" t="s">
        <v>21</v>
      </c>
      <c r="K272" s="15">
        <v>0</v>
      </c>
      <c r="L272" s="19">
        <v>1</v>
      </c>
      <c r="M272" s="15">
        <v>4</v>
      </c>
    </row>
    <row r="273" spans="1:13" x14ac:dyDescent="0.3">
      <c r="A273" s="1" t="s">
        <v>552</v>
      </c>
      <c r="B273" s="1" t="s">
        <v>553</v>
      </c>
      <c r="C273" s="1" t="s">
        <v>15</v>
      </c>
      <c r="D273" s="2">
        <v>45619</v>
      </c>
      <c r="E273" s="13" t="s">
        <v>16</v>
      </c>
      <c r="F273" s="15">
        <v>15</v>
      </c>
      <c r="G273" s="1" t="s">
        <v>26</v>
      </c>
      <c r="H273" s="13" t="s">
        <v>16</v>
      </c>
      <c r="I273" s="15">
        <v>30</v>
      </c>
      <c r="J273" s="13" t="s">
        <v>16</v>
      </c>
      <c r="K273" s="15">
        <v>20</v>
      </c>
      <c r="L273">
        <v>7</v>
      </c>
      <c r="M273" s="15">
        <v>58</v>
      </c>
    </row>
    <row r="274" spans="1:13" x14ac:dyDescent="0.3">
      <c r="A274" s="1" t="s">
        <v>554</v>
      </c>
      <c r="B274" s="1" t="s">
        <v>261</v>
      </c>
      <c r="C274" s="1" t="s">
        <v>25</v>
      </c>
      <c r="D274" s="2">
        <v>45620</v>
      </c>
      <c r="E274" s="13" t="s">
        <v>21</v>
      </c>
      <c r="F274" s="15">
        <v>10</v>
      </c>
      <c r="G274" s="1" t="s">
        <v>17</v>
      </c>
      <c r="H274" s="13" t="s">
        <v>21</v>
      </c>
      <c r="I274" s="15">
        <v>0</v>
      </c>
      <c r="J274" s="13" t="s">
        <v>16</v>
      </c>
      <c r="K274" s="15">
        <v>20</v>
      </c>
      <c r="L274">
        <v>10</v>
      </c>
      <c r="M274" s="15">
        <v>20</v>
      </c>
    </row>
    <row r="275" spans="1:13" x14ac:dyDescent="0.3">
      <c r="A275" s="1" t="s">
        <v>555</v>
      </c>
      <c r="B275" s="1" t="s">
        <v>556</v>
      </c>
      <c r="C275" s="1" t="s">
        <v>20</v>
      </c>
      <c r="D275" s="2">
        <v>45621</v>
      </c>
      <c r="E275" s="13" t="s">
        <v>16</v>
      </c>
      <c r="F275" s="15">
        <v>5</v>
      </c>
      <c r="G275" s="1" t="s">
        <v>22</v>
      </c>
      <c r="H275" s="13" t="s">
        <v>21</v>
      </c>
      <c r="I275" s="15">
        <v>0</v>
      </c>
      <c r="J275" s="13" t="s">
        <v>21</v>
      </c>
      <c r="K275" s="15">
        <v>0</v>
      </c>
      <c r="L275" s="19">
        <v>0</v>
      </c>
      <c r="M275" s="15">
        <v>5</v>
      </c>
    </row>
    <row r="276" spans="1:13" x14ac:dyDescent="0.3">
      <c r="A276" s="1" t="s">
        <v>557</v>
      </c>
      <c r="B276" s="1" t="s">
        <v>558</v>
      </c>
      <c r="C276" s="1" t="s">
        <v>15</v>
      </c>
      <c r="D276" s="2">
        <v>45622</v>
      </c>
      <c r="E276" s="13" t="s">
        <v>21</v>
      </c>
      <c r="F276" s="15">
        <v>15</v>
      </c>
      <c r="G276" s="1" t="s">
        <v>17</v>
      </c>
      <c r="H276" s="13" t="s">
        <v>16</v>
      </c>
      <c r="I276" s="15">
        <v>30</v>
      </c>
      <c r="J276" s="13" t="s">
        <v>16</v>
      </c>
      <c r="K276" s="15">
        <v>20</v>
      </c>
      <c r="L276">
        <v>20</v>
      </c>
      <c r="M276" s="15">
        <v>45</v>
      </c>
    </row>
    <row r="277" spans="1:13" x14ac:dyDescent="0.3">
      <c r="A277" s="1" t="s">
        <v>559</v>
      </c>
      <c r="B277" s="1" t="s">
        <v>560</v>
      </c>
      <c r="C277" s="1" t="s">
        <v>25</v>
      </c>
      <c r="D277" s="2">
        <v>45623</v>
      </c>
      <c r="E277" s="13" t="s">
        <v>16</v>
      </c>
      <c r="F277" s="15">
        <v>10</v>
      </c>
      <c r="G277" s="1" t="s">
        <v>26</v>
      </c>
      <c r="H277" s="13" t="s">
        <v>21</v>
      </c>
      <c r="I277" s="15">
        <v>0</v>
      </c>
      <c r="J277" s="13" t="s">
        <v>16</v>
      </c>
      <c r="K277" s="15">
        <v>20</v>
      </c>
      <c r="L277">
        <v>15</v>
      </c>
      <c r="M277" s="15">
        <v>15</v>
      </c>
    </row>
    <row r="278" spans="1:13" x14ac:dyDescent="0.3">
      <c r="A278" s="1" t="s">
        <v>561</v>
      </c>
      <c r="B278" s="1" t="s">
        <v>562</v>
      </c>
      <c r="C278" s="1" t="s">
        <v>20</v>
      </c>
      <c r="D278" s="2">
        <v>45624</v>
      </c>
      <c r="E278" s="13" t="s">
        <v>21</v>
      </c>
      <c r="F278" s="15">
        <v>5</v>
      </c>
      <c r="G278" s="1" t="s">
        <v>17</v>
      </c>
      <c r="H278" s="13" t="s">
        <v>21</v>
      </c>
      <c r="I278" s="15">
        <v>0</v>
      </c>
      <c r="J278" s="13" t="s">
        <v>21</v>
      </c>
      <c r="K278" s="15">
        <v>0</v>
      </c>
      <c r="L278" s="19">
        <v>1</v>
      </c>
      <c r="M278" s="15">
        <v>4</v>
      </c>
    </row>
    <row r="279" spans="1:13" x14ac:dyDescent="0.3">
      <c r="A279" s="1" t="s">
        <v>563</v>
      </c>
      <c r="B279" s="1" t="s">
        <v>564</v>
      </c>
      <c r="C279" s="1" t="s">
        <v>15</v>
      </c>
      <c r="D279" s="2">
        <v>45625</v>
      </c>
      <c r="E279" s="13" t="s">
        <v>16</v>
      </c>
      <c r="F279" s="15">
        <v>15</v>
      </c>
      <c r="G279" s="1" t="s">
        <v>22</v>
      </c>
      <c r="H279" s="13" t="s">
        <v>16</v>
      </c>
      <c r="I279" s="15">
        <v>30</v>
      </c>
      <c r="J279" s="13" t="s">
        <v>16</v>
      </c>
      <c r="K279" s="15">
        <v>20</v>
      </c>
      <c r="L279">
        <v>3</v>
      </c>
      <c r="M279" s="15">
        <v>62</v>
      </c>
    </row>
    <row r="280" spans="1:13" x14ac:dyDescent="0.3">
      <c r="A280" s="1" t="s">
        <v>565</v>
      </c>
      <c r="B280" s="1" t="s">
        <v>566</v>
      </c>
      <c r="C280" s="1" t="s">
        <v>25</v>
      </c>
      <c r="D280" s="2">
        <v>45626</v>
      </c>
      <c r="E280" s="13" t="s">
        <v>21</v>
      </c>
      <c r="F280" s="15">
        <v>10</v>
      </c>
      <c r="G280" s="1" t="s">
        <v>17</v>
      </c>
      <c r="H280" s="13" t="s">
        <v>21</v>
      </c>
      <c r="I280" s="15">
        <v>0</v>
      </c>
      <c r="J280" s="13" t="s">
        <v>16</v>
      </c>
      <c r="K280" s="15">
        <v>20</v>
      </c>
      <c r="L280">
        <v>10</v>
      </c>
      <c r="M280" s="15">
        <v>20</v>
      </c>
    </row>
    <row r="281" spans="1:13" x14ac:dyDescent="0.3">
      <c r="A281" s="1" t="s">
        <v>567</v>
      </c>
      <c r="B281" s="1" t="s">
        <v>568</v>
      </c>
      <c r="C281" s="1" t="s">
        <v>20</v>
      </c>
      <c r="D281" s="2">
        <v>45627</v>
      </c>
      <c r="E281" s="13" t="s">
        <v>16</v>
      </c>
      <c r="F281" s="15">
        <v>5</v>
      </c>
      <c r="G281" s="1" t="s">
        <v>26</v>
      </c>
      <c r="H281" s="13" t="s">
        <v>21</v>
      </c>
      <c r="I281" s="15">
        <v>0</v>
      </c>
      <c r="J281" s="13" t="s">
        <v>21</v>
      </c>
      <c r="K281" s="15">
        <v>0</v>
      </c>
      <c r="L281" s="19">
        <v>0</v>
      </c>
      <c r="M281" s="15">
        <v>5</v>
      </c>
    </row>
    <row r="282" spans="1:13" x14ac:dyDescent="0.3">
      <c r="A282" s="1" t="s">
        <v>569</v>
      </c>
      <c r="B282" s="1" t="s">
        <v>570</v>
      </c>
      <c r="C282" s="1" t="s">
        <v>15</v>
      </c>
      <c r="D282" s="2">
        <v>45628</v>
      </c>
      <c r="E282" s="13" t="s">
        <v>21</v>
      </c>
      <c r="F282" s="15">
        <v>15</v>
      </c>
      <c r="G282" s="1" t="s">
        <v>17</v>
      </c>
      <c r="H282" s="13" t="s">
        <v>16</v>
      </c>
      <c r="I282" s="15">
        <v>30</v>
      </c>
      <c r="J282" s="13" t="s">
        <v>16</v>
      </c>
      <c r="K282" s="15">
        <v>20</v>
      </c>
      <c r="L282">
        <v>15</v>
      </c>
      <c r="M282" s="15">
        <v>50</v>
      </c>
    </row>
    <row r="283" spans="1:13" x14ac:dyDescent="0.3">
      <c r="A283" s="1" t="s">
        <v>571</v>
      </c>
      <c r="B283" s="1" t="s">
        <v>572</v>
      </c>
      <c r="C283" s="1" t="s">
        <v>25</v>
      </c>
      <c r="D283" s="2">
        <v>45629</v>
      </c>
      <c r="E283" s="13" t="s">
        <v>16</v>
      </c>
      <c r="F283" s="15">
        <v>10</v>
      </c>
      <c r="G283" s="1" t="s">
        <v>22</v>
      </c>
      <c r="H283" s="13" t="s">
        <v>21</v>
      </c>
      <c r="I283" s="15">
        <v>0</v>
      </c>
      <c r="J283" s="13" t="s">
        <v>16</v>
      </c>
      <c r="K283" s="15">
        <v>20</v>
      </c>
      <c r="L283">
        <v>15</v>
      </c>
      <c r="M283" s="15">
        <v>15</v>
      </c>
    </row>
    <row r="284" spans="1:13" x14ac:dyDescent="0.3">
      <c r="A284" s="1" t="s">
        <v>573</v>
      </c>
      <c r="B284" s="1" t="s">
        <v>574</v>
      </c>
      <c r="C284" s="1" t="s">
        <v>20</v>
      </c>
      <c r="D284" s="2">
        <v>45630</v>
      </c>
      <c r="E284" s="13" t="s">
        <v>21</v>
      </c>
      <c r="F284" s="15">
        <v>5</v>
      </c>
      <c r="G284" s="1" t="s">
        <v>17</v>
      </c>
      <c r="H284" s="13" t="s">
        <v>21</v>
      </c>
      <c r="I284" s="15">
        <v>0</v>
      </c>
      <c r="J284" s="13" t="s">
        <v>21</v>
      </c>
      <c r="K284" s="15">
        <v>0</v>
      </c>
      <c r="L284" s="19">
        <v>1</v>
      </c>
      <c r="M284" s="15">
        <v>4</v>
      </c>
    </row>
    <row r="285" spans="1:13" x14ac:dyDescent="0.3">
      <c r="A285" s="1" t="s">
        <v>575</v>
      </c>
      <c r="B285" s="1" t="s">
        <v>576</v>
      </c>
      <c r="C285" s="1" t="s">
        <v>15</v>
      </c>
      <c r="D285" s="2">
        <v>45631</v>
      </c>
      <c r="E285" s="13" t="s">
        <v>16</v>
      </c>
      <c r="F285" s="15">
        <v>15</v>
      </c>
      <c r="G285" s="1" t="s">
        <v>26</v>
      </c>
      <c r="H285" s="13" t="s">
        <v>16</v>
      </c>
      <c r="I285" s="15">
        <v>30</v>
      </c>
      <c r="J285" s="13" t="s">
        <v>16</v>
      </c>
      <c r="K285" s="15">
        <v>20</v>
      </c>
      <c r="L285">
        <v>7</v>
      </c>
      <c r="M285" s="15">
        <v>58</v>
      </c>
    </row>
    <row r="286" spans="1:13" x14ac:dyDescent="0.3">
      <c r="A286" s="1" t="s">
        <v>577</v>
      </c>
      <c r="B286" s="1" t="s">
        <v>283</v>
      </c>
      <c r="C286" s="1" t="s">
        <v>25</v>
      </c>
      <c r="D286" s="2">
        <v>45632</v>
      </c>
      <c r="E286" s="13" t="s">
        <v>21</v>
      </c>
      <c r="F286" s="15">
        <v>10</v>
      </c>
      <c r="G286" s="1" t="s">
        <v>17</v>
      </c>
      <c r="H286" s="13" t="s">
        <v>21</v>
      </c>
      <c r="I286" s="15">
        <v>0</v>
      </c>
      <c r="J286" s="13" t="s">
        <v>16</v>
      </c>
      <c r="K286" s="15">
        <v>20</v>
      </c>
      <c r="L286">
        <v>10</v>
      </c>
      <c r="M286" s="15">
        <v>20</v>
      </c>
    </row>
    <row r="287" spans="1:13" x14ac:dyDescent="0.3">
      <c r="A287" s="1" t="s">
        <v>578</v>
      </c>
      <c r="B287" s="1" t="s">
        <v>285</v>
      </c>
      <c r="C287" s="1" t="s">
        <v>20</v>
      </c>
      <c r="D287" s="2">
        <v>45633</v>
      </c>
      <c r="E287" s="13" t="s">
        <v>16</v>
      </c>
      <c r="F287" s="15">
        <v>5</v>
      </c>
      <c r="G287" s="1" t="s">
        <v>22</v>
      </c>
      <c r="H287" s="13" t="s">
        <v>21</v>
      </c>
      <c r="I287" s="15">
        <v>0</v>
      </c>
      <c r="J287" s="13" t="s">
        <v>21</v>
      </c>
      <c r="K287" s="15">
        <v>0</v>
      </c>
      <c r="L287" s="19">
        <v>0</v>
      </c>
      <c r="M287" s="15">
        <v>5</v>
      </c>
    </row>
    <row r="288" spans="1:13" x14ac:dyDescent="0.3">
      <c r="A288" s="1" t="s">
        <v>579</v>
      </c>
      <c r="B288" s="1" t="s">
        <v>387</v>
      </c>
      <c r="C288" s="1" t="s">
        <v>15</v>
      </c>
      <c r="D288" s="2">
        <v>45634</v>
      </c>
      <c r="E288" s="13" t="s">
        <v>21</v>
      </c>
      <c r="F288" s="15">
        <v>15</v>
      </c>
      <c r="G288" s="1" t="s">
        <v>17</v>
      </c>
      <c r="H288" s="13" t="s">
        <v>16</v>
      </c>
      <c r="I288" s="15">
        <v>30</v>
      </c>
      <c r="J288" s="13" t="s">
        <v>16</v>
      </c>
      <c r="K288" s="15">
        <v>20</v>
      </c>
      <c r="L288">
        <v>20</v>
      </c>
      <c r="M288" s="15">
        <v>45</v>
      </c>
    </row>
    <row r="289" spans="1:13" x14ac:dyDescent="0.3">
      <c r="A289" s="1" t="s">
        <v>580</v>
      </c>
      <c r="B289" s="1" t="s">
        <v>581</v>
      </c>
      <c r="C289" s="1" t="s">
        <v>25</v>
      </c>
      <c r="D289" s="2">
        <v>45635</v>
      </c>
      <c r="E289" s="13" t="s">
        <v>16</v>
      </c>
      <c r="F289" s="15">
        <v>10</v>
      </c>
      <c r="G289" s="1" t="s">
        <v>26</v>
      </c>
      <c r="H289" s="13" t="s">
        <v>21</v>
      </c>
      <c r="I289" s="15">
        <v>0</v>
      </c>
      <c r="J289" s="13" t="s">
        <v>16</v>
      </c>
      <c r="K289" s="15">
        <v>20</v>
      </c>
      <c r="L289">
        <v>12</v>
      </c>
      <c r="M289" s="15">
        <v>18</v>
      </c>
    </row>
    <row r="290" spans="1:13" x14ac:dyDescent="0.3">
      <c r="A290" s="1" t="s">
        <v>582</v>
      </c>
      <c r="B290" s="1" t="s">
        <v>583</v>
      </c>
      <c r="C290" s="1" t="s">
        <v>20</v>
      </c>
      <c r="D290" s="2">
        <v>45636</v>
      </c>
      <c r="E290" s="13" t="s">
        <v>21</v>
      </c>
      <c r="F290" s="15">
        <v>5</v>
      </c>
      <c r="G290" s="1" t="s">
        <v>17</v>
      </c>
      <c r="H290" s="13" t="s">
        <v>21</v>
      </c>
      <c r="I290" s="15">
        <v>0</v>
      </c>
      <c r="J290" s="13" t="s">
        <v>21</v>
      </c>
      <c r="K290" s="15">
        <v>0</v>
      </c>
      <c r="L290" s="19">
        <v>2</v>
      </c>
      <c r="M290" s="15">
        <v>3</v>
      </c>
    </row>
    <row r="291" spans="1:13" x14ac:dyDescent="0.3">
      <c r="A291" s="1" t="s">
        <v>584</v>
      </c>
      <c r="B291" s="1" t="s">
        <v>585</v>
      </c>
      <c r="C291" s="1" t="s">
        <v>15</v>
      </c>
      <c r="D291" s="2">
        <v>45637</v>
      </c>
      <c r="E291" s="13" t="s">
        <v>16</v>
      </c>
      <c r="F291" s="15">
        <v>15</v>
      </c>
      <c r="G291" s="1" t="s">
        <v>22</v>
      </c>
      <c r="H291" s="13" t="s">
        <v>16</v>
      </c>
      <c r="I291" s="15">
        <v>30</v>
      </c>
      <c r="J291" s="13" t="s">
        <v>16</v>
      </c>
      <c r="K291" s="15">
        <v>20</v>
      </c>
      <c r="L291">
        <v>5</v>
      </c>
      <c r="M291" s="15">
        <v>60</v>
      </c>
    </row>
    <row r="292" spans="1:13" x14ac:dyDescent="0.3">
      <c r="A292" s="1" t="s">
        <v>586</v>
      </c>
      <c r="B292" s="1" t="s">
        <v>587</v>
      </c>
      <c r="C292" s="1" t="s">
        <v>25</v>
      </c>
      <c r="D292" s="2">
        <v>45638</v>
      </c>
      <c r="E292" s="13" t="s">
        <v>21</v>
      </c>
      <c r="F292" s="15">
        <v>10</v>
      </c>
      <c r="G292" s="1" t="s">
        <v>17</v>
      </c>
      <c r="H292" s="13" t="s">
        <v>21</v>
      </c>
      <c r="I292" s="15">
        <v>0</v>
      </c>
      <c r="J292" s="13" t="s">
        <v>16</v>
      </c>
      <c r="K292" s="15">
        <v>20</v>
      </c>
      <c r="L292">
        <v>10</v>
      </c>
      <c r="M292" s="15">
        <v>20</v>
      </c>
    </row>
    <row r="293" spans="1:13" x14ac:dyDescent="0.3">
      <c r="A293" s="1" t="s">
        <v>588</v>
      </c>
      <c r="B293" s="1" t="s">
        <v>589</v>
      </c>
      <c r="C293" s="1" t="s">
        <v>20</v>
      </c>
      <c r="D293" s="2">
        <v>45639</v>
      </c>
      <c r="E293" s="13" t="s">
        <v>16</v>
      </c>
      <c r="F293" s="15">
        <v>5</v>
      </c>
      <c r="G293" s="1" t="s">
        <v>26</v>
      </c>
      <c r="H293" s="13" t="s">
        <v>21</v>
      </c>
      <c r="I293" s="15">
        <v>0</v>
      </c>
      <c r="J293" s="13" t="s">
        <v>21</v>
      </c>
      <c r="K293" s="15">
        <v>0</v>
      </c>
      <c r="L293" s="19">
        <v>0</v>
      </c>
      <c r="M293" s="15">
        <v>5</v>
      </c>
    </row>
    <row r="294" spans="1:13" x14ac:dyDescent="0.3">
      <c r="A294" s="1" t="s">
        <v>590</v>
      </c>
      <c r="B294" s="1" t="s">
        <v>591</v>
      </c>
      <c r="C294" s="1" t="s">
        <v>15</v>
      </c>
      <c r="D294" s="2">
        <v>45640</v>
      </c>
      <c r="E294" s="13" t="s">
        <v>21</v>
      </c>
      <c r="F294" s="15">
        <v>15</v>
      </c>
      <c r="G294" s="1" t="s">
        <v>17</v>
      </c>
      <c r="H294" s="13" t="s">
        <v>16</v>
      </c>
      <c r="I294" s="15">
        <v>30</v>
      </c>
      <c r="J294" s="13" t="s">
        <v>16</v>
      </c>
      <c r="K294" s="15">
        <v>20</v>
      </c>
      <c r="L294">
        <v>3</v>
      </c>
      <c r="M294" s="15">
        <v>62</v>
      </c>
    </row>
    <row r="295" spans="1:13" x14ac:dyDescent="0.3">
      <c r="A295" s="1" t="s">
        <v>592</v>
      </c>
      <c r="B295" s="1" t="s">
        <v>593</v>
      </c>
      <c r="C295" s="1" t="s">
        <v>25</v>
      </c>
      <c r="D295" s="2">
        <v>45641</v>
      </c>
      <c r="E295" s="13" t="s">
        <v>16</v>
      </c>
      <c r="F295" s="15">
        <v>10</v>
      </c>
      <c r="G295" s="1" t="s">
        <v>22</v>
      </c>
      <c r="H295" s="13" t="s">
        <v>21</v>
      </c>
      <c r="I295" s="15">
        <v>0</v>
      </c>
      <c r="J295" s="13" t="s">
        <v>16</v>
      </c>
      <c r="K295" s="15">
        <v>20</v>
      </c>
      <c r="L295">
        <v>15</v>
      </c>
      <c r="M295" s="15">
        <v>15</v>
      </c>
    </row>
    <row r="296" spans="1:13" x14ac:dyDescent="0.3">
      <c r="A296" s="1" t="s">
        <v>594</v>
      </c>
      <c r="B296" s="1" t="s">
        <v>595</v>
      </c>
      <c r="C296" s="1" t="s">
        <v>20</v>
      </c>
      <c r="D296" s="2">
        <v>45642</v>
      </c>
      <c r="E296" s="13" t="s">
        <v>21</v>
      </c>
      <c r="F296" s="15">
        <v>5</v>
      </c>
      <c r="G296" s="1" t="s">
        <v>17</v>
      </c>
      <c r="H296" s="13" t="s">
        <v>21</v>
      </c>
      <c r="I296" s="15">
        <v>0</v>
      </c>
      <c r="J296" s="13" t="s">
        <v>21</v>
      </c>
      <c r="K296" s="15">
        <v>0</v>
      </c>
      <c r="L296" s="19">
        <v>1</v>
      </c>
      <c r="M296" s="15">
        <v>4</v>
      </c>
    </row>
    <row r="297" spans="1:13" x14ac:dyDescent="0.3">
      <c r="A297" s="1" t="s">
        <v>596</v>
      </c>
      <c r="B297" s="1" t="s">
        <v>597</v>
      </c>
      <c r="C297" s="1" t="s">
        <v>15</v>
      </c>
      <c r="D297" s="2">
        <v>45643</v>
      </c>
      <c r="E297" s="13" t="s">
        <v>21</v>
      </c>
      <c r="F297" s="15">
        <v>15</v>
      </c>
      <c r="G297" s="1" t="s">
        <v>26</v>
      </c>
      <c r="H297" s="13" t="s">
        <v>16</v>
      </c>
      <c r="I297" s="15">
        <v>30</v>
      </c>
      <c r="J297" s="13" t="s">
        <v>16</v>
      </c>
      <c r="K297" s="15">
        <v>20</v>
      </c>
      <c r="L297">
        <v>3</v>
      </c>
      <c r="M297" s="15">
        <v>62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55D9D-CE9B-4F24-B0FC-DA0C697C10F2}">
  <sheetPr codeName="Planilha3"/>
  <dimension ref="B3:K58"/>
  <sheetViews>
    <sheetView topLeftCell="A8" zoomScaleNormal="100" workbookViewId="0">
      <selection activeCell="A22" sqref="A22"/>
    </sheetView>
  </sheetViews>
  <sheetFormatPr defaultRowHeight="14.4" x14ac:dyDescent="0.3"/>
  <cols>
    <col min="2" max="2" width="10" bestFit="1" customWidth="1"/>
    <col min="3" max="3" width="24.109375" bestFit="1" customWidth="1"/>
    <col min="4" max="4" width="32.6640625" bestFit="1" customWidth="1"/>
    <col min="5" max="5" width="18.44140625" bestFit="1" customWidth="1"/>
    <col min="6" max="6" width="12" bestFit="1" customWidth="1"/>
    <col min="7" max="7" width="32.6640625" bestFit="1" customWidth="1"/>
    <col min="8" max="8" width="31.21875" bestFit="1" customWidth="1"/>
    <col min="9" max="9" width="40.44140625" bestFit="1" customWidth="1"/>
    <col min="10" max="10" width="39" bestFit="1" customWidth="1"/>
    <col min="11" max="11" width="37.44140625" bestFit="1" customWidth="1"/>
    <col min="12" max="14" width="36" bestFit="1" customWidth="1"/>
    <col min="15" max="15" width="10" bestFit="1" customWidth="1"/>
    <col min="16" max="17" width="8.109375" bestFit="1" customWidth="1"/>
    <col min="18" max="18" width="10" bestFit="1" customWidth="1"/>
  </cols>
  <sheetData>
    <row r="3" spans="2:11" ht="31.8" customHeight="1" thickBot="1" x14ac:dyDescent="0.35">
      <c r="B3" s="16" t="s">
        <v>613</v>
      </c>
      <c r="C3" s="16"/>
      <c r="D3" s="16"/>
      <c r="E3" s="16"/>
      <c r="F3" s="22"/>
      <c r="G3" s="22"/>
      <c r="H3" s="22"/>
      <c r="I3" s="22"/>
      <c r="J3" s="22"/>
      <c r="K3" s="22"/>
    </row>
    <row r="8" spans="2:11" x14ac:dyDescent="0.3">
      <c r="C8" t="s">
        <v>614</v>
      </c>
    </row>
    <row r="9" spans="2:11" x14ac:dyDescent="0.3">
      <c r="B9" s="14" t="s">
        <v>20</v>
      </c>
      <c r="C9" s="18">
        <v>245</v>
      </c>
    </row>
    <row r="10" spans="2:11" x14ac:dyDescent="0.3">
      <c r="B10" s="14" t="s">
        <v>25</v>
      </c>
      <c r="C10" s="18">
        <v>450</v>
      </c>
    </row>
    <row r="11" spans="2:11" x14ac:dyDescent="0.3">
      <c r="B11" s="14" t="s">
        <v>15</v>
      </c>
      <c r="C11" s="18">
        <v>675</v>
      </c>
    </row>
    <row r="12" spans="2:11" x14ac:dyDescent="0.3">
      <c r="B12" s="14" t="s">
        <v>611</v>
      </c>
      <c r="C12" s="18">
        <v>1370</v>
      </c>
    </row>
    <row r="15" spans="2:11" ht="24.6" customHeight="1" thickBot="1" x14ac:dyDescent="0.35">
      <c r="B15" s="16" t="s">
        <v>616</v>
      </c>
      <c r="C15" s="20"/>
      <c r="D15" s="20"/>
      <c r="E15" s="20"/>
      <c r="F15" s="21"/>
      <c r="G15" s="21"/>
      <c r="H15" s="21"/>
    </row>
    <row r="20" spans="2:8" x14ac:dyDescent="0.3">
      <c r="B20" s="17" t="s">
        <v>615</v>
      </c>
    </row>
    <row r="21" spans="2:8" x14ac:dyDescent="0.3">
      <c r="C21" s="12" t="s">
        <v>21</v>
      </c>
      <c r="D21" t="s">
        <v>16</v>
      </c>
      <c r="E21" t="s">
        <v>611</v>
      </c>
    </row>
    <row r="22" spans="2:8" x14ac:dyDescent="0.3">
      <c r="B22" s="14" t="s">
        <v>22</v>
      </c>
      <c r="C22" s="1">
        <v>11</v>
      </c>
      <c r="D22" s="1">
        <v>60</v>
      </c>
      <c r="E22" s="1">
        <v>71</v>
      </c>
    </row>
    <row r="23" spans="2:8" x14ac:dyDescent="0.3">
      <c r="B23" s="14" t="s">
        <v>17</v>
      </c>
      <c r="C23" s="1">
        <v>111</v>
      </c>
      <c r="D23" s="1">
        <v>28</v>
      </c>
      <c r="E23" s="1">
        <v>139</v>
      </c>
    </row>
    <row r="24" spans="2:8" x14ac:dyDescent="0.3">
      <c r="B24" s="14" t="s">
        <v>26</v>
      </c>
      <c r="C24" s="1">
        <v>26</v>
      </c>
      <c r="D24" s="1">
        <v>60</v>
      </c>
      <c r="E24" s="1">
        <v>86</v>
      </c>
    </row>
    <row r="25" spans="2:8" x14ac:dyDescent="0.3">
      <c r="B25" s="14" t="s">
        <v>611</v>
      </c>
      <c r="C25" s="1">
        <v>148</v>
      </c>
      <c r="D25" s="1">
        <v>148</v>
      </c>
      <c r="E25" s="1">
        <v>296</v>
      </c>
    </row>
    <row r="30" spans="2:8" ht="26.4" customHeight="1" thickBot="1" x14ac:dyDescent="0.35">
      <c r="B30" s="16" t="s">
        <v>617</v>
      </c>
      <c r="C30" s="20"/>
      <c r="D30" s="20"/>
      <c r="E30" s="20"/>
      <c r="F30" s="21"/>
      <c r="G30" s="21"/>
      <c r="H30" s="21"/>
    </row>
    <row r="34" spans="2:7" x14ac:dyDescent="0.3">
      <c r="C34" t="s">
        <v>618</v>
      </c>
      <c r="D34" t="s">
        <v>619</v>
      </c>
      <c r="E34" t="s">
        <v>612</v>
      </c>
    </row>
    <row r="35" spans="2:7" x14ac:dyDescent="0.3">
      <c r="B35" s="14" t="s">
        <v>25</v>
      </c>
      <c r="C35" s="15">
        <v>0</v>
      </c>
      <c r="D35" s="15">
        <v>900</v>
      </c>
      <c r="E35" s="15">
        <v>958</v>
      </c>
    </row>
    <row r="36" spans="2:7" x14ac:dyDescent="0.3">
      <c r="B36" s="14" t="s">
        <v>15</v>
      </c>
      <c r="C36" s="15">
        <v>1350</v>
      </c>
      <c r="D36" s="15">
        <v>900</v>
      </c>
      <c r="E36" s="15">
        <v>2421</v>
      </c>
    </row>
    <row r="37" spans="2:7" x14ac:dyDescent="0.3">
      <c r="B37" s="14" t="s">
        <v>611</v>
      </c>
      <c r="C37" s="15">
        <v>1350</v>
      </c>
      <c r="D37" s="15">
        <v>1800</v>
      </c>
      <c r="E37" s="15">
        <v>3379</v>
      </c>
      <c r="F37">
        <f>GETPIVOTDATA("Soma de EA Play Season Pass
Price",$B$34)</f>
        <v>1350</v>
      </c>
      <c r="G37">
        <f>GETPIVOTDATA("Soma de Minecraft Season Pass Price",$B$34)</f>
        <v>1800</v>
      </c>
    </row>
    <row r="40" spans="2:7" ht="15" thickBot="1" x14ac:dyDescent="0.35">
      <c r="B40" s="16" t="s">
        <v>620</v>
      </c>
      <c r="C40" s="20"/>
      <c r="D40" s="20"/>
      <c r="E40" s="20"/>
    </row>
    <row r="44" spans="2:7" x14ac:dyDescent="0.3">
      <c r="B44" s="17" t="s">
        <v>612</v>
      </c>
    </row>
    <row r="45" spans="2:7" x14ac:dyDescent="0.3">
      <c r="C45" t="s">
        <v>20</v>
      </c>
      <c r="D45" t="s">
        <v>25</v>
      </c>
      <c r="E45" t="s">
        <v>15</v>
      </c>
      <c r="F45" t="s">
        <v>611</v>
      </c>
    </row>
    <row r="46" spans="2:7" x14ac:dyDescent="0.3">
      <c r="B46" s="14" t="s">
        <v>621</v>
      </c>
      <c r="C46" s="18">
        <v>5</v>
      </c>
      <c r="D46" s="18"/>
      <c r="E46" s="18">
        <v>60</v>
      </c>
      <c r="F46" s="1">
        <v>65</v>
      </c>
    </row>
    <row r="47" spans="2:7" x14ac:dyDescent="0.3">
      <c r="B47" s="14" t="s">
        <v>622</v>
      </c>
      <c r="C47" s="18"/>
      <c r="D47" s="18">
        <v>20</v>
      </c>
      <c r="E47" s="18">
        <v>62</v>
      </c>
      <c r="F47" s="1">
        <v>82</v>
      </c>
    </row>
    <row r="48" spans="2:7" x14ac:dyDescent="0.3">
      <c r="B48" s="14" t="s">
        <v>623</v>
      </c>
      <c r="C48" s="18">
        <v>48</v>
      </c>
      <c r="D48" s="18">
        <v>191</v>
      </c>
      <c r="E48" s="18">
        <v>562</v>
      </c>
      <c r="F48" s="1">
        <v>801</v>
      </c>
    </row>
    <row r="49" spans="2:6" x14ac:dyDescent="0.3">
      <c r="B49" s="14" t="s">
        <v>624</v>
      </c>
      <c r="C49" s="18">
        <v>44</v>
      </c>
      <c r="D49" s="18">
        <v>193</v>
      </c>
      <c r="E49" s="18">
        <v>545</v>
      </c>
      <c r="F49" s="1">
        <v>782</v>
      </c>
    </row>
    <row r="50" spans="2:6" x14ac:dyDescent="0.3">
      <c r="B50" s="14" t="s">
        <v>625</v>
      </c>
      <c r="C50" s="18">
        <v>49</v>
      </c>
      <c r="D50" s="18">
        <v>183</v>
      </c>
      <c r="E50" s="18">
        <v>545</v>
      </c>
      <c r="F50" s="1">
        <v>777</v>
      </c>
    </row>
    <row r="51" spans="2:6" x14ac:dyDescent="0.3">
      <c r="B51" s="14" t="s">
        <v>626</v>
      </c>
      <c r="C51" s="18">
        <v>43</v>
      </c>
      <c r="D51" s="18">
        <v>196</v>
      </c>
      <c r="E51" s="18">
        <v>531</v>
      </c>
      <c r="F51" s="1">
        <v>770</v>
      </c>
    </row>
    <row r="52" spans="2:6" x14ac:dyDescent="0.3">
      <c r="B52" s="14" t="s">
        <v>627</v>
      </c>
      <c r="C52" s="18">
        <v>48</v>
      </c>
      <c r="D52" s="18">
        <v>188</v>
      </c>
      <c r="E52" s="18">
        <v>548</v>
      </c>
      <c r="F52" s="1">
        <v>784</v>
      </c>
    </row>
    <row r="53" spans="2:6" x14ac:dyDescent="0.3">
      <c r="B53" s="14" t="s">
        <v>628</v>
      </c>
      <c r="C53" s="18">
        <v>49</v>
      </c>
      <c r="D53" s="18">
        <v>188</v>
      </c>
      <c r="E53" s="18">
        <v>550</v>
      </c>
      <c r="F53" s="1">
        <v>787</v>
      </c>
    </row>
    <row r="54" spans="2:6" x14ac:dyDescent="0.3">
      <c r="B54" s="14" t="s">
        <v>629</v>
      </c>
      <c r="C54" s="18">
        <v>44</v>
      </c>
      <c r="D54" s="18">
        <v>188</v>
      </c>
      <c r="E54" s="18">
        <v>548</v>
      </c>
      <c r="F54" s="1">
        <v>780</v>
      </c>
    </row>
    <row r="55" spans="2:6" x14ac:dyDescent="0.3">
      <c r="B55" s="14" t="s">
        <v>630</v>
      </c>
      <c r="C55" s="18">
        <v>44</v>
      </c>
      <c r="D55" s="18">
        <v>178</v>
      </c>
      <c r="E55" s="18">
        <v>610</v>
      </c>
      <c r="F55" s="1">
        <v>832</v>
      </c>
    </row>
    <row r="56" spans="2:6" x14ac:dyDescent="0.3">
      <c r="B56" s="14" t="s">
        <v>631</v>
      </c>
      <c r="C56" s="18">
        <v>44</v>
      </c>
      <c r="D56" s="18">
        <v>188</v>
      </c>
      <c r="E56" s="18">
        <v>552</v>
      </c>
      <c r="F56" s="1">
        <v>784</v>
      </c>
    </row>
    <row r="57" spans="2:6" x14ac:dyDescent="0.3">
      <c r="B57" s="14" t="s">
        <v>632</v>
      </c>
      <c r="C57" s="18">
        <v>26</v>
      </c>
      <c r="D57" s="18">
        <v>88</v>
      </c>
      <c r="E57" s="18">
        <v>337</v>
      </c>
      <c r="F57" s="1">
        <v>451</v>
      </c>
    </row>
    <row r="58" spans="2:6" x14ac:dyDescent="0.3">
      <c r="B58" s="14" t="s">
        <v>611</v>
      </c>
      <c r="C58" s="18">
        <v>444</v>
      </c>
      <c r="D58" s="18">
        <v>1801</v>
      </c>
      <c r="E58" s="18">
        <v>5450</v>
      </c>
      <c r="F58" s="18">
        <v>7695</v>
      </c>
    </row>
  </sheetData>
  <pageMargins left="0.511811024" right="0.511811024" top="0.78740157499999996" bottom="0.78740157499999996" header="0.31496062000000002" footer="0.31496062000000002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66C36-9B18-48B7-8C2D-A3D67739A615}">
  <sheetPr codeName="Planilha4"/>
  <dimension ref="A1:AN149"/>
  <sheetViews>
    <sheetView zoomScale="70" zoomScaleNormal="70" workbookViewId="0">
      <selection activeCell="E14" sqref="E14"/>
    </sheetView>
  </sheetViews>
  <sheetFormatPr defaultColWidth="0" defaultRowHeight="14.4" x14ac:dyDescent="0.3"/>
  <cols>
    <col min="1" max="1" width="26.77734375" style="25" customWidth="1"/>
    <col min="2" max="2" width="2.77734375" customWidth="1"/>
    <col min="3" max="17" width="8.88671875" customWidth="1"/>
    <col min="18" max="18" width="5.6640625" customWidth="1"/>
    <col min="19" max="19" width="1.33203125" style="27" customWidth="1"/>
    <col min="20" max="36" width="8.88671875" customWidth="1"/>
    <col min="37" max="16384" width="8.88671875" hidden="1"/>
  </cols>
  <sheetData>
    <row r="1" spans="1:40" s="10" customFormat="1" ht="18.600000000000001" customHeight="1" x14ac:dyDescent="0.3">
      <c r="A1" s="25"/>
      <c r="S1" s="27"/>
    </row>
    <row r="2" spans="1:40" s="10" customFormat="1" ht="35.4" customHeight="1" thickBot="1" x14ac:dyDescent="0.65">
      <c r="A2" s="25"/>
      <c r="C2" s="24"/>
      <c r="D2" s="32" t="s">
        <v>633</v>
      </c>
      <c r="E2" s="31"/>
      <c r="F2" s="23"/>
      <c r="G2" s="23"/>
      <c r="H2" s="23"/>
      <c r="I2" s="23"/>
      <c r="J2" s="23"/>
      <c r="K2" s="23"/>
      <c r="L2" s="23"/>
      <c r="M2" s="23"/>
      <c r="N2" s="23"/>
      <c r="S2" s="27"/>
    </row>
    <row r="3" spans="1:40" s="10" customFormat="1" ht="21.6" customHeight="1" thickTop="1" x14ac:dyDescent="0.3">
      <c r="A3" s="25"/>
      <c r="S3" s="27"/>
    </row>
    <row r="4" spans="1:40" ht="15" thickBot="1" x14ac:dyDescent="0.35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28"/>
      <c r="AH4" s="28"/>
      <c r="AI4" s="28"/>
      <c r="AJ4" s="28"/>
      <c r="AK4" s="28"/>
      <c r="AL4" s="28"/>
      <c r="AM4" s="28"/>
      <c r="AN4" s="28"/>
    </row>
    <row r="5" spans="1:40" x14ac:dyDescent="0.3">
      <c r="A5" s="26" t="s">
        <v>634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28"/>
      <c r="AH5" s="28"/>
      <c r="AI5" s="28"/>
      <c r="AJ5" s="28"/>
      <c r="AK5" s="28"/>
      <c r="AL5" s="28"/>
      <c r="AM5" s="28"/>
      <c r="AN5" s="28"/>
    </row>
    <row r="6" spans="1:40" x14ac:dyDescent="0.3">
      <c r="B6" s="5"/>
      <c r="C6" s="5"/>
      <c r="D6" s="30" t="s">
        <v>635</v>
      </c>
      <c r="E6" s="29"/>
      <c r="F6" s="29"/>
      <c r="G6" s="29"/>
      <c r="H6" s="29"/>
      <c r="I6" s="29"/>
      <c r="J6" s="29"/>
      <c r="K6" s="29"/>
      <c r="L6" s="29"/>
      <c r="M6" s="29"/>
      <c r="N6" s="29"/>
      <c r="O6" s="5"/>
      <c r="P6" s="5"/>
      <c r="Q6" s="5"/>
      <c r="R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28"/>
      <c r="AH6" s="28"/>
      <c r="AI6" s="28"/>
      <c r="AJ6" s="28"/>
      <c r="AK6" s="28"/>
      <c r="AL6" s="28"/>
      <c r="AM6" s="28"/>
      <c r="AN6" s="28"/>
    </row>
    <row r="7" spans="1:40" x14ac:dyDescent="0.3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28"/>
      <c r="AH7" s="28"/>
      <c r="AI7" s="28"/>
      <c r="AJ7" s="28"/>
      <c r="AK7" s="28"/>
      <c r="AL7" s="28"/>
      <c r="AM7" s="28"/>
      <c r="AN7" s="28"/>
    </row>
    <row r="8" spans="1:40" x14ac:dyDescent="0.3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28"/>
      <c r="AH8" s="28"/>
      <c r="AI8" s="28"/>
      <c r="AJ8" s="28"/>
      <c r="AK8" s="28"/>
      <c r="AL8" s="28"/>
      <c r="AM8" s="28"/>
      <c r="AN8" s="28"/>
    </row>
    <row r="9" spans="1:40" x14ac:dyDescent="0.3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28"/>
      <c r="AH9" s="28"/>
      <c r="AI9" s="28"/>
      <c r="AJ9" s="28"/>
      <c r="AK9" s="28"/>
      <c r="AL9" s="28"/>
      <c r="AM9" s="28"/>
      <c r="AN9" s="28"/>
    </row>
    <row r="10" spans="1:40" x14ac:dyDescent="0.3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28"/>
      <c r="AH10" s="28"/>
      <c r="AI10" s="28"/>
      <c r="AJ10" s="28"/>
      <c r="AK10" s="28"/>
      <c r="AL10" s="28"/>
      <c r="AM10" s="28"/>
      <c r="AN10" s="28"/>
    </row>
    <row r="11" spans="1:40" x14ac:dyDescent="0.3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28"/>
      <c r="AH11" s="28"/>
      <c r="AI11" s="28"/>
      <c r="AJ11" s="28"/>
      <c r="AK11" s="28"/>
      <c r="AL11" s="28"/>
      <c r="AM11" s="28"/>
      <c r="AN11" s="28"/>
    </row>
    <row r="12" spans="1:40" x14ac:dyDescent="0.3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28"/>
      <c r="AH12" s="28"/>
      <c r="AI12" s="28"/>
      <c r="AJ12" s="28"/>
      <c r="AK12" s="28"/>
      <c r="AL12" s="28"/>
      <c r="AM12" s="28"/>
      <c r="AN12" s="28"/>
    </row>
    <row r="13" spans="1:40" x14ac:dyDescent="0.3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28"/>
      <c r="AH13" s="28"/>
      <c r="AI13" s="28"/>
      <c r="AJ13" s="28"/>
      <c r="AK13" s="28"/>
      <c r="AL13" s="28"/>
      <c r="AM13" s="28"/>
      <c r="AN13" s="28"/>
    </row>
    <row r="14" spans="1:40" x14ac:dyDescent="0.3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28"/>
      <c r="AH14" s="28"/>
      <c r="AI14" s="28"/>
      <c r="AJ14" s="28"/>
      <c r="AK14" s="28"/>
      <c r="AL14" s="28"/>
      <c r="AM14" s="28"/>
      <c r="AN14" s="28"/>
    </row>
    <row r="15" spans="1:40" x14ac:dyDescent="0.3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28"/>
      <c r="AH15" s="28"/>
      <c r="AI15" s="28"/>
      <c r="AJ15" s="28"/>
      <c r="AK15" s="28"/>
      <c r="AL15" s="28"/>
      <c r="AM15" s="28"/>
      <c r="AN15" s="28"/>
    </row>
    <row r="16" spans="1:40" x14ac:dyDescent="0.3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28"/>
      <c r="AH16" s="28"/>
      <c r="AI16" s="28"/>
      <c r="AJ16" s="28"/>
      <c r="AK16" s="28"/>
      <c r="AL16" s="28"/>
      <c r="AM16" s="28"/>
      <c r="AN16" s="28"/>
    </row>
    <row r="17" spans="2:40" x14ac:dyDescent="0.3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28"/>
      <c r="AH17" s="28"/>
      <c r="AI17" s="28"/>
      <c r="AJ17" s="28"/>
      <c r="AK17" s="28"/>
      <c r="AL17" s="28"/>
      <c r="AM17" s="28"/>
      <c r="AN17" s="28"/>
    </row>
    <row r="18" spans="2:40" x14ac:dyDescent="0.3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28"/>
      <c r="AH18" s="28"/>
      <c r="AI18" s="28"/>
      <c r="AJ18" s="28"/>
      <c r="AK18" s="28"/>
      <c r="AL18" s="28"/>
      <c r="AM18" s="28"/>
      <c r="AN18" s="28"/>
    </row>
    <row r="19" spans="2:40" x14ac:dyDescent="0.3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28"/>
      <c r="AH19" s="28"/>
      <c r="AI19" s="28"/>
      <c r="AJ19" s="28"/>
      <c r="AK19" s="28"/>
      <c r="AL19" s="28"/>
      <c r="AM19" s="28"/>
      <c r="AN19" s="28"/>
    </row>
    <row r="20" spans="2:40" x14ac:dyDescent="0.3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28"/>
      <c r="AH20" s="28"/>
      <c r="AI20" s="28"/>
      <c r="AJ20" s="28"/>
      <c r="AK20" s="28"/>
      <c r="AL20" s="28"/>
      <c r="AM20" s="28"/>
      <c r="AN20" s="28"/>
    </row>
    <row r="21" spans="2:40" x14ac:dyDescent="0.3"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28"/>
      <c r="AH21" s="28"/>
      <c r="AI21" s="28"/>
      <c r="AJ21" s="28"/>
      <c r="AK21" s="28"/>
      <c r="AL21" s="28"/>
      <c r="AM21" s="28"/>
      <c r="AN21" s="28"/>
    </row>
    <row r="22" spans="2:40" x14ac:dyDescent="0.3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28"/>
      <c r="AH22" s="28"/>
      <c r="AI22" s="28"/>
      <c r="AJ22" s="28"/>
      <c r="AK22" s="28"/>
      <c r="AL22" s="28"/>
      <c r="AM22" s="28"/>
      <c r="AN22" s="28"/>
    </row>
    <row r="23" spans="2:40" x14ac:dyDescent="0.3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28"/>
      <c r="AH23" s="28"/>
      <c r="AI23" s="28"/>
      <c r="AJ23" s="28"/>
      <c r="AK23" s="28"/>
      <c r="AL23" s="28"/>
      <c r="AM23" s="28"/>
      <c r="AN23" s="28"/>
    </row>
    <row r="24" spans="2:40" x14ac:dyDescent="0.3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28"/>
      <c r="AH24" s="28"/>
      <c r="AI24" s="28"/>
      <c r="AJ24" s="28"/>
      <c r="AK24" s="28"/>
      <c r="AL24" s="28"/>
      <c r="AM24" s="28"/>
      <c r="AN24" s="28"/>
    </row>
    <row r="25" spans="2:40" x14ac:dyDescent="0.3"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28"/>
      <c r="AH25" s="28"/>
      <c r="AI25" s="28"/>
      <c r="AJ25" s="28"/>
      <c r="AK25" s="28"/>
      <c r="AL25" s="28"/>
      <c r="AM25" s="28"/>
      <c r="AN25" s="28"/>
    </row>
    <row r="26" spans="2:40" x14ac:dyDescent="0.3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28"/>
      <c r="AH26" s="28"/>
      <c r="AI26" s="28"/>
      <c r="AJ26" s="28"/>
      <c r="AK26" s="28"/>
      <c r="AL26" s="28"/>
      <c r="AM26" s="28"/>
      <c r="AN26" s="28"/>
    </row>
    <row r="27" spans="2:40" x14ac:dyDescent="0.3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28"/>
      <c r="AH27" s="28"/>
      <c r="AI27" s="28"/>
      <c r="AJ27" s="28"/>
      <c r="AK27" s="28"/>
      <c r="AL27" s="28"/>
      <c r="AM27" s="28"/>
      <c r="AN27" s="28"/>
    </row>
    <row r="28" spans="2:40" x14ac:dyDescent="0.3"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28"/>
      <c r="AH28" s="28"/>
      <c r="AI28" s="28"/>
      <c r="AJ28" s="28"/>
      <c r="AK28" s="28"/>
      <c r="AL28" s="28"/>
      <c r="AM28" s="28"/>
      <c r="AN28" s="28"/>
    </row>
    <row r="29" spans="2:40" x14ac:dyDescent="0.3"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28"/>
      <c r="AH29" s="28"/>
      <c r="AI29" s="28"/>
      <c r="AJ29" s="28"/>
      <c r="AK29" s="28"/>
      <c r="AL29" s="28"/>
      <c r="AM29" s="28"/>
      <c r="AN29" s="28"/>
    </row>
    <row r="30" spans="2:40" x14ac:dyDescent="0.3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28"/>
      <c r="AH30" s="28"/>
      <c r="AI30" s="28"/>
      <c r="AJ30" s="28"/>
      <c r="AK30" s="28"/>
      <c r="AL30" s="28"/>
      <c r="AM30" s="28"/>
      <c r="AN30" s="28"/>
    </row>
    <row r="31" spans="2:40" x14ac:dyDescent="0.3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28"/>
      <c r="AH31" s="28"/>
      <c r="AI31" s="28"/>
      <c r="AJ31" s="28"/>
      <c r="AK31" s="28"/>
      <c r="AL31" s="28"/>
      <c r="AM31" s="28"/>
      <c r="AN31" s="28"/>
    </row>
    <row r="32" spans="2:40" x14ac:dyDescent="0.3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28"/>
      <c r="AH32" s="28"/>
      <c r="AI32" s="28"/>
      <c r="AJ32" s="28"/>
      <c r="AK32" s="28"/>
      <c r="AL32" s="28"/>
      <c r="AM32" s="28"/>
      <c r="AN32" s="28"/>
    </row>
    <row r="33" spans="2:40" x14ac:dyDescent="0.3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28"/>
      <c r="AH33" s="28"/>
      <c r="AI33" s="28"/>
      <c r="AJ33" s="28"/>
      <c r="AK33" s="28"/>
      <c r="AL33" s="28"/>
      <c r="AM33" s="28"/>
      <c r="AN33" s="28"/>
    </row>
    <row r="34" spans="2:40" x14ac:dyDescent="0.3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28"/>
      <c r="AH34" s="28"/>
      <c r="AI34" s="28"/>
      <c r="AJ34" s="28"/>
      <c r="AK34" s="28"/>
      <c r="AL34" s="28"/>
      <c r="AM34" s="28"/>
      <c r="AN34" s="28"/>
    </row>
    <row r="35" spans="2:40" x14ac:dyDescent="0.3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28"/>
      <c r="AH35" s="28"/>
      <c r="AI35" s="28"/>
      <c r="AJ35" s="28"/>
      <c r="AK35" s="28"/>
      <c r="AL35" s="28"/>
      <c r="AM35" s="28"/>
      <c r="AN35" s="28"/>
    </row>
    <row r="36" spans="2:40" x14ac:dyDescent="0.3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28"/>
      <c r="AH36" s="28"/>
      <c r="AI36" s="28"/>
      <c r="AJ36" s="28"/>
      <c r="AK36" s="28"/>
      <c r="AL36" s="28"/>
      <c r="AM36" s="28"/>
      <c r="AN36" s="28"/>
    </row>
    <row r="37" spans="2:40" x14ac:dyDescent="0.3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28"/>
      <c r="AH37" s="28"/>
      <c r="AI37" s="28"/>
      <c r="AJ37" s="28"/>
      <c r="AK37" s="28"/>
      <c r="AL37" s="28"/>
      <c r="AM37" s="28"/>
      <c r="AN37" s="28"/>
    </row>
    <row r="38" spans="2:40" x14ac:dyDescent="0.3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28"/>
      <c r="AH38" s="28"/>
      <c r="AI38" s="28"/>
      <c r="AJ38" s="28"/>
      <c r="AK38" s="28"/>
      <c r="AL38" s="28"/>
      <c r="AM38" s="28"/>
      <c r="AN38" s="28"/>
    </row>
    <row r="39" spans="2:40" x14ac:dyDescent="0.3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28"/>
      <c r="AH39" s="28"/>
      <c r="AI39" s="28"/>
      <c r="AJ39" s="28"/>
      <c r="AK39" s="28"/>
      <c r="AL39" s="28"/>
      <c r="AM39" s="28"/>
      <c r="AN39" s="28"/>
    </row>
    <row r="40" spans="2:40" x14ac:dyDescent="0.3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28"/>
      <c r="AH40" s="28"/>
      <c r="AI40" s="28"/>
      <c r="AJ40" s="28"/>
      <c r="AK40" s="28"/>
      <c r="AL40" s="28"/>
      <c r="AM40" s="28"/>
      <c r="AN40" s="28"/>
    </row>
    <row r="41" spans="2:40" x14ac:dyDescent="0.3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28"/>
      <c r="AH41" s="28"/>
      <c r="AI41" s="28"/>
      <c r="AJ41" s="28"/>
      <c r="AK41" s="28"/>
      <c r="AL41" s="28"/>
      <c r="AM41" s="28"/>
      <c r="AN41" s="28"/>
    </row>
    <row r="42" spans="2:40" x14ac:dyDescent="0.3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28"/>
      <c r="AH42" s="28"/>
      <c r="AI42" s="28"/>
      <c r="AJ42" s="28"/>
      <c r="AK42" s="28"/>
      <c r="AL42" s="28"/>
      <c r="AM42" s="28"/>
      <c r="AN42" s="28"/>
    </row>
    <row r="43" spans="2:40" x14ac:dyDescent="0.3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28"/>
      <c r="AH43" s="28"/>
      <c r="AI43" s="28"/>
      <c r="AJ43" s="28"/>
      <c r="AK43" s="28"/>
      <c r="AL43" s="28"/>
      <c r="AM43" s="28"/>
      <c r="AN43" s="28"/>
    </row>
    <row r="44" spans="2:40" x14ac:dyDescent="0.3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28"/>
      <c r="AH44" s="28"/>
      <c r="AI44" s="28"/>
      <c r="AJ44" s="28"/>
      <c r="AK44" s="28"/>
      <c r="AL44" s="28"/>
      <c r="AM44" s="28"/>
      <c r="AN44" s="28"/>
    </row>
    <row r="45" spans="2:40" x14ac:dyDescent="0.3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28"/>
      <c r="AH45" s="28"/>
      <c r="AI45" s="28"/>
      <c r="AJ45" s="28"/>
      <c r="AK45" s="28"/>
      <c r="AL45" s="28"/>
      <c r="AM45" s="28"/>
      <c r="AN45" s="28"/>
    </row>
    <row r="46" spans="2:40" x14ac:dyDescent="0.3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28"/>
      <c r="AH46" s="28"/>
      <c r="AI46" s="28"/>
      <c r="AJ46" s="28"/>
      <c r="AK46" s="28"/>
      <c r="AL46" s="28"/>
      <c r="AM46" s="28"/>
      <c r="AN46" s="28"/>
    </row>
    <row r="47" spans="2:40" x14ac:dyDescent="0.3"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28"/>
      <c r="AH47" s="28"/>
      <c r="AI47" s="28"/>
      <c r="AJ47" s="28"/>
      <c r="AK47" s="28"/>
      <c r="AL47" s="28"/>
      <c r="AM47" s="28"/>
      <c r="AN47" s="28"/>
    </row>
    <row r="48" spans="2:40" x14ac:dyDescent="0.3"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28"/>
      <c r="AH48" s="28"/>
      <c r="AI48" s="28"/>
      <c r="AJ48" s="28"/>
      <c r="AK48" s="28"/>
      <c r="AL48" s="28"/>
      <c r="AM48" s="28"/>
      <c r="AN48" s="28"/>
    </row>
    <row r="49" spans="2:40" x14ac:dyDescent="0.3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28"/>
      <c r="AH49" s="28"/>
      <c r="AI49" s="28"/>
      <c r="AJ49" s="28"/>
      <c r="AK49" s="28"/>
      <c r="AL49" s="28"/>
      <c r="AM49" s="28"/>
      <c r="AN49" s="28"/>
    </row>
    <row r="50" spans="2:40" x14ac:dyDescent="0.3"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28"/>
      <c r="AH50" s="28"/>
      <c r="AI50" s="28"/>
      <c r="AJ50" s="28"/>
      <c r="AK50" s="28"/>
      <c r="AL50" s="28"/>
      <c r="AM50" s="28"/>
      <c r="AN50" s="28"/>
    </row>
    <row r="51" spans="2:40" x14ac:dyDescent="0.3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28"/>
      <c r="AH51" s="28"/>
      <c r="AI51" s="28"/>
      <c r="AJ51" s="28"/>
      <c r="AK51" s="28"/>
      <c r="AL51" s="28"/>
      <c r="AM51" s="28"/>
      <c r="AN51" s="28"/>
    </row>
    <row r="52" spans="2:40" x14ac:dyDescent="0.3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28"/>
      <c r="AH52" s="28"/>
      <c r="AI52" s="28"/>
      <c r="AJ52" s="28"/>
      <c r="AK52" s="28"/>
      <c r="AL52" s="28"/>
      <c r="AM52" s="28"/>
      <c r="AN52" s="28"/>
    </row>
    <row r="53" spans="2:40" x14ac:dyDescent="0.3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28"/>
      <c r="AH53" s="28"/>
      <c r="AI53" s="28"/>
      <c r="AJ53" s="28"/>
      <c r="AK53" s="28"/>
      <c r="AL53" s="28"/>
      <c r="AM53" s="28"/>
      <c r="AN53" s="28"/>
    </row>
    <row r="54" spans="2:40" x14ac:dyDescent="0.3"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28"/>
      <c r="AH54" s="28"/>
      <c r="AI54" s="28"/>
      <c r="AJ54" s="28"/>
      <c r="AK54" s="28"/>
      <c r="AL54" s="28"/>
      <c r="AM54" s="28"/>
      <c r="AN54" s="28"/>
    </row>
    <row r="55" spans="2:40" x14ac:dyDescent="0.3"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28"/>
      <c r="AH55" s="28"/>
      <c r="AI55" s="28"/>
      <c r="AJ55" s="28"/>
      <c r="AK55" s="28"/>
      <c r="AL55" s="28"/>
      <c r="AM55" s="28"/>
      <c r="AN55" s="28"/>
    </row>
    <row r="56" spans="2:40" x14ac:dyDescent="0.3"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28"/>
      <c r="AH56" s="28"/>
      <c r="AI56" s="28"/>
      <c r="AJ56" s="28"/>
      <c r="AK56" s="28"/>
      <c r="AL56" s="28"/>
      <c r="AM56" s="28"/>
      <c r="AN56" s="28"/>
    </row>
    <row r="57" spans="2:40" x14ac:dyDescent="0.3"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28"/>
      <c r="AH57" s="28"/>
      <c r="AI57" s="28"/>
      <c r="AJ57" s="28"/>
      <c r="AK57" s="28"/>
      <c r="AL57" s="28"/>
      <c r="AM57" s="28"/>
      <c r="AN57" s="28"/>
    </row>
    <row r="58" spans="2:40" x14ac:dyDescent="0.3"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28"/>
      <c r="AH58" s="28"/>
      <c r="AI58" s="28"/>
      <c r="AJ58" s="28"/>
      <c r="AK58" s="28"/>
      <c r="AL58" s="28"/>
      <c r="AM58" s="28"/>
      <c r="AN58" s="28"/>
    </row>
    <row r="59" spans="2:40" x14ac:dyDescent="0.3"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28"/>
      <c r="AH59" s="28"/>
      <c r="AI59" s="28"/>
      <c r="AJ59" s="28"/>
      <c r="AK59" s="28"/>
      <c r="AL59" s="28"/>
      <c r="AM59" s="28"/>
      <c r="AN59" s="28"/>
    </row>
    <row r="60" spans="2:40" x14ac:dyDescent="0.3"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28"/>
      <c r="AH60" s="28"/>
      <c r="AI60" s="28"/>
      <c r="AJ60" s="28"/>
      <c r="AK60" s="28"/>
      <c r="AL60" s="28"/>
      <c r="AM60" s="28"/>
      <c r="AN60" s="28"/>
    </row>
    <row r="61" spans="2:40" x14ac:dyDescent="0.3"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28"/>
      <c r="AH61" s="28"/>
      <c r="AI61" s="28"/>
      <c r="AJ61" s="28"/>
      <c r="AK61" s="28"/>
      <c r="AL61" s="28"/>
      <c r="AM61" s="28"/>
      <c r="AN61" s="28"/>
    </row>
    <row r="62" spans="2:40" x14ac:dyDescent="0.3"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28"/>
      <c r="AH62" s="28"/>
      <c r="AI62" s="28"/>
      <c r="AJ62" s="28"/>
      <c r="AK62" s="28"/>
      <c r="AL62" s="28"/>
      <c r="AM62" s="28"/>
      <c r="AN62" s="28"/>
    </row>
    <row r="63" spans="2:40" x14ac:dyDescent="0.3"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28"/>
      <c r="AH63" s="28"/>
      <c r="AI63" s="28"/>
      <c r="AJ63" s="28"/>
      <c r="AK63" s="28"/>
      <c r="AL63" s="28"/>
      <c r="AM63" s="28"/>
      <c r="AN63" s="28"/>
    </row>
    <row r="64" spans="2:40" x14ac:dyDescent="0.3"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28"/>
      <c r="AH64" s="28"/>
      <c r="AI64" s="28"/>
      <c r="AJ64" s="28"/>
      <c r="AK64" s="28"/>
      <c r="AL64" s="28"/>
      <c r="AM64" s="28"/>
      <c r="AN64" s="28"/>
    </row>
    <row r="65" spans="2:40" x14ac:dyDescent="0.3"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28"/>
      <c r="AH65" s="28"/>
      <c r="AI65" s="28"/>
      <c r="AJ65" s="28"/>
      <c r="AK65" s="28"/>
      <c r="AL65" s="28"/>
      <c r="AM65" s="28"/>
      <c r="AN65" s="28"/>
    </row>
    <row r="66" spans="2:40" x14ac:dyDescent="0.3"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28"/>
      <c r="AH66" s="28"/>
      <c r="AI66" s="28"/>
      <c r="AJ66" s="28"/>
      <c r="AK66" s="28"/>
      <c r="AL66" s="28"/>
      <c r="AM66" s="28"/>
      <c r="AN66" s="28"/>
    </row>
    <row r="67" spans="2:40" x14ac:dyDescent="0.3"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28"/>
      <c r="AH67" s="28"/>
      <c r="AI67" s="28"/>
      <c r="AJ67" s="28"/>
      <c r="AK67" s="28"/>
      <c r="AL67" s="28"/>
      <c r="AM67" s="28"/>
      <c r="AN67" s="28"/>
    </row>
    <row r="68" spans="2:40" x14ac:dyDescent="0.3"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28"/>
      <c r="AH68" s="28"/>
      <c r="AI68" s="28"/>
      <c r="AJ68" s="28"/>
      <c r="AK68" s="28"/>
      <c r="AL68" s="28"/>
      <c r="AM68" s="28"/>
      <c r="AN68" s="28"/>
    </row>
    <row r="69" spans="2:40" x14ac:dyDescent="0.3"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28"/>
      <c r="AH69" s="28"/>
      <c r="AI69" s="28"/>
      <c r="AJ69" s="28"/>
      <c r="AK69" s="28"/>
      <c r="AL69" s="28"/>
      <c r="AM69" s="28"/>
      <c r="AN69" s="28"/>
    </row>
    <row r="70" spans="2:40" x14ac:dyDescent="0.3"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28"/>
      <c r="AH70" s="28"/>
      <c r="AI70" s="28"/>
      <c r="AJ70" s="28"/>
      <c r="AK70" s="28"/>
      <c r="AL70" s="28"/>
      <c r="AM70" s="28"/>
      <c r="AN70" s="28"/>
    </row>
    <row r="71" spans="2:40" x14ac:dyDescent="0.3"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28"/>
      <c r="AH71" s="28"/>
      <c r="AI71" s="28"/>
      <c r="AJ71" s="28"/>
      <c r="AK71" s="28"/>
      <c r="AL71" s="28"/>
      <c r="AM71" s="28"/>
      <c r="AN71" s="28"/>
    </row>
    <row r="72" spans="2:40" x14ac:dyDescent="0.3"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28"/>
      <c r="AH72" s="28"/>
      <c r="AI72" s="28"/>
      <c r="AJ72" s="28"/>
      <c r="AK72" s="28"/>
      <c r="AL72" s="28"/>
      <c r="AM72" s="28"/>
      <c r="AN72" s="28"/>
    </row>
    <row r="73" spans="2:40" x14ac:dyDescent="0.3"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28"/>
      <c r="AH73" s="28"/>
      <c r="AI73" s="28"/>
      <c r="AJ73" s="28"/>
      <c r="AK73" s="28"/>
      <c r="AL73" s="28"/>
      <c r="AM73" s="28"/>
      <c r="AN73" s="28"/>
    </row>
    <row r="74" spans="2:40" x14ac:dyDescent="0.3"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28"/>
      <c r="AH74" s="28"/>
      <c r="AI74" s="28"/>
      <c r="AJ74" s="28"/>
      <c r="AK74" s="28"/>
      <c r="AL74" s="28"/>
      <c r="AM74" s="28"/>
      <c r="AN74" s="28"/>
    </row>
    <row r="75" spans="2:40" x14ac:dyDescent="0.3"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28"/>
      <c r="AH75" s="28"/>
      <c r="AI75" s="28"/>
      <c r="AJ75" s="28"/>
      <c r="AK75" s="28"/>
      <c r="AL75" s="28"/>
      <c r="AM75" s="28"/>
      <c r="AN75" s="28"/>
    </row>
    <row r="76" spans="2:40" x14ac:dyDescent="0.3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28"/>
      <c r="AH76" s="28"/>
      <c r="AI76" s="28"/>
      <c r="AJ76" s="28"/>
      <c r="AK76" s="28"/>
      <c r="AL76" s="28"/>
      <c r="AM76" s="28"/>
      <c r="AN76" s="28"/>
    </row>
    <row r="77" spans="2:40" x14ac:dyDescent="0.3"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28"/>
      <c r="AH77" s="28"/>
      <c r="AI77" s="28"/>
      <c r="AJ77" s="28"/>
      <c r="AK77" s="28"/>
      <c r="AL77" s="28"/>
      <c r="AM77" s="28"/>
      <c r="AN77" s="28"/>
    </row>
    <row r="78" spans="2:40" x14ac:dyDescent="0.3"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28"/>
      <c r="AH78" s="28"/>
      <c r="AI78" s="28"/>
      <c r="AJ78" s="28"/>
      <c r="AK78" s="28"/>
      <c r="AL78" s="28"/>
      <c r="AM78" s="28"/>
      <c r="AN78" s="28"/>
    </row>
    <row r="79" spans="2:40" x14ac:dyDescent="0.3"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28"/>
      <c r="AH79" s="28"/>
      <c r="AI79" s="28"/>
      <c r="AJ79" s="28"/>
      <c r="AK79" s="28"/>
      <c r="AL79" s="28"/>
      <c r="AM79" s="28"/>
      <c r="AN79" s="28"/>
    </row>
    <row r="80" spans="2:40" x14ac:dyDescent="0.3"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28"/>
      <c r="AH80" s="28"/>
      <c r="AI80" s="28"/>
      <c r="AJ80" s="28"/>
      <c r="AK80" s="28"/>
      <c r="AL80" s="28"/>
      <c r="AM80" s="28"/>
      <c r="AN80" s="28"/>
    </row>
    <row r="81" spans="2:40" x14ac:dyDescent="0.3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28"/>
      <c r="AH81" s="28"/>
      <c r="AI81" s="28"/>
      <c r="AJ81" s="28"/>
      <c r="AK81" s="28"/>
      <c r="AL81" s="28"/>
      <c r="AM81" s="28"/>
      <c r="AN81" s="28"/>
    </row>
    <row r="82" spans="2:40" x14ac:dyDescent="0.3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28"/>
      <c r="AH82" s="28"/>
      <c r="AI82" s="28"/>
      <c r="AJ82" s="28"/>
      <c r="AK82" s="28"/>
      <c r="AL82" s="28"/>
      <c r="AM82" s="28"/>
      <c r="AN82" s="28"/>
    </row>
    <row r="83" spans="2:40" x14ac:dyDescent="0.3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28"/>
      <c r="AH83" s="28"/>
      <c r="AI83" s="28"/>
      <c r="AJ83" s="28"/>
      <c r="AK83" s="28"/>
      <c r="AL83" s="28"/>
      <c r="AM83" s="28"/>
      <c r="AN83" s="28"/>
    </row>
    <row r="84" spans="2:40" x14ac:dyDescent="0.3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28"/>
      <c r="AH84" s="28"/>
      <c r="AI84" s="28"/>
      <c r="AJ84" s="28"/>
      <c r="AK84" s="28"/>
      <c r="AL84" s="28"/>
      <c r="AM84" s="28"/>
      <c r="AN84" s="28"/>
    </row>
    <row r="85" spans="2:40" x14ac:dyDescent="0.3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28"/>
      <c r="AH85" s="28"/>
      <c r="AI85" s="28"/>
      <c r="AJ85" s="28"/>
      <c r="AK85" s="28"/>
      <c r="AL85" s="28"/>
      <c r="AM85" s="28"/>
      <c r="AN85" s="28"/>
    </row>
    <row r="86" spans="2:40" x14ac:dyDescent="0.3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28"/>
      <c r="AH86" s="28"/>
      <c r="AI86" s="28"/>
      <c r="AJ86" s="28"/>
      <c r="AK86" s="28"/>
      <c r="AL86" s="28"/>
      <c r="AM86" s="28"/>
      <c r="AN86" s="28"/>
    </row>
    <row r="87" spans="2:40" x14ac:dyDescent="0.3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28"/>
      <c r="AH87" s="28"/>
      <c r="AI87" s="28"/>
      <c r="AJ87" s="28"/>
      <c r="AK87" s="28"/>
      <c r="AL87" s="28"/>
      <c r="AM87" s="28"/>
      <c r="AN87" s="28"/>
    </row>
    <row r="88" spans="2:40" x14ac:dyDescent="0.3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28"/>
      <c r="AH88" s="28"/>
      <c r="AI88" s="28"/>
      <c r="AJ88" s="28"/>
      <c r="AK88" s="28"/>
      <c r="AL88" s="28"/>
      <c r="AM88" s="28"/>
      <c r="AN88" s="28"/>
    </row>
    <row r="89" spans="2:40" x14ac:dyDescent="0.3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28"/>
      <c r="AH89" s="28"/>
      <c r="AI89" s="28"/>
      <c r="AJ89" s="28"/>
      <c r="AK89" s="28"/>
      <c r="AL89" s="28"/>
      <c r="AM89" s="28"/>
      <c r="AN89" s="28"/>
    </row>
    <row r="90" spans="2:40" x14ac:dyDescent="0.3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28"/>
      <c r="AH90" s="28"/>
      <c r="AI90" s="28"/>
      <c r="AJ90" s="28"/>
      <c r="AK90" s="28"/>
      <c r="AL90" s="28"/>
      <c r="AM90" s="28"/>
      <c r="AN90" s="28"/>
    </row>
    <row r="91" spans="2:40" x14ac:dyDescent="0.3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28"/>
      <c r="AH91" s="28"/>
      <c r="AI91" s="28"/>
      <c r="AJ91" s="28"/>
      <c r="AK91" s="28"/>
      <c r="AL91" s="28"/>
      <c r="AM91" s="28"/>
      <c r="AN91" s="28"/>
    </row>
    <row r="92" spans="2:40" x14ac:dyDescent="0.3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28"/>
      <c r="AH92" s="28"/>
      <c r="AI92" s="28"/>
      <c r="AJ92" s="28"/>
      <c r="AK92" s="28"/>
      <c r="AL92" s="28"/>
      <c r="AM92" s="28"/>
      <c r="AN92" s="28"/>
    </row>
    <row r="93" spans="2:40" x14ac:dyDescent="0.3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28"/>
      <c r="AH93" s="28"/>
      <c r="AI93" s="28"/>
      <c r="AJ93" s="28"/>
      <c r="AK93" s="28"/>
      <c r="AL93" s="28"/>
      <c r="AM93" s="28"/>
      <c r="AN93" s="28"/>
    </row>
    <row r="94" spans="2:40" x14ac:dyDescent="0.3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28"/>
      <c r="AH94" s="28"/>
      <c r="AI94" s="28"/>
      <c r="AJ94" s="28"/>
      <c r="AK94" s="28"/>
      <c r="AL94" s="28"/>
      <c r="AM94" s="28"/>
      <c r="AN94" s="28"/>
    </row>
    <row r="95" spans="2:40" x14ac:dyDescent="0.3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28"/>
      <c r="AH95" s="28"/>
      <c r="AI95" s="28"/>
      <c r="AJ95" s="28"/>
      <c r="AK95" s="28"/>
      <c r="AL95" s="28"/>
      <c r="AM95" s="28"/>
      <c r="AN95" s="28"/>
    </row>
    <row r="96" spans="2:40" x14ac:dyDescent="0.3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28"/>
      <c r="AH96" s="28"/>
      <c r="AI96" s="28"/>
      <c r="AJ96" s="28"/>
      <c r="AK96" s="28"/>
      <c r="AL96" s="28"/>
      <c r="AM96" s="28"/>
      <c r="AN96" s="28"/>
    </row>
    <row r="97" spans="2:40" x14ac:dyDescent="0.3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28"/>
      <c r="AH97" s="28"/>
      <c r="AI97" s="28"/>
      <c r="AJ97" s="28"/>
      <c r="AK97" s="28"/>
      <c r="AL97" s="28"/>
      <c r="AM97" s="28"/>
      <c r="AN97" s="28"/>
    </row>
    <row r="98" spans="2:40" x14ac:dyDescent="0.3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28"/>
      <c r="AH98" s="28"/>
      <c r="AI98" s="28"/>
      <c r="AJ98" s="28"/>
      <c r="AK98" s="28"/>
      <c r="AL98" s="28"/>
      <c r="AM98" s="28"/>
      <c r="AN98" s="28"/>
    </row>
    <row r="99" spans="2:40" x14ac:dyDescent="0.3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28"/>
      <c r="AH99" s="28"/>
      <c r="AI99" s="28"/>
      <c r="AJ99" s="28"/>
      <c r="AK99" s="28"/>
      <c r="AL99" s="28"/>
      <c r="AM99" s="28"/>
      <c r="AN99" s="28"/>
    </row>
    <row r="100" spans="2:40" x14ac:dyDescent="0.3"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28"/>
      <c r="AH100" s="28"/>
      <c r="AI100" s="28"/>
      <c r="AJ100" s="28"/>
      <c r="AK100" s="28"/>
      <c r="AL100" s="28"/>
      <c r="AM100" s="28"/>
      <c r="AN100" s="28"/>
    </row>
    <row r="101" spans="2:40" x14ac:dyDescent="0.3"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28"/>
      <c r="AH101" s="28"/>
      <c r="AI101" s="28"/>
      <c r="AJ101" s="28"/>
      <c r="AK101" s="28"/>
      <c r="AL101" s="28"/>
      <c r="AM101" s="28"/>
      <c r="AN101" s="28"/>
    </row>
    <row r="102" spans="2:40" x14ac:dyDescent="0.3"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28"/>
      <c r="AH102" s="28"/>
      <c r="AI102" s="28"/>
      <c r="AJ102" s="28"/>
      <c r="AK102" s="28"/>
      <c r="AL102" s="28"/>
      <c r="AM102" s="28"/>
      <c r="AN102" s="28"/>
    </row>
    <row r="103" spans="2:40" x14ac:dyDescent="0.3"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28"/>
      <c r="AH103" s="28"/>
      <c r="AI103" s="28"/>
      <c r="AJ103" s="28"/>
      <c r="AK103" s="28"/>
      <c r="AL103" s="28"/>
      <c r="AM103" s="28"/>
      <c r="AN103" s="28"/>
    </row>
    <row r="104" spans="2:40" x14ac:dyDescent="0.3"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28"/>
      <c r="AH104" s="28"/>
      <c r="AI104" s="28"/>
      <c r="AJ104" s="28"/>
      <c r="AK104" s="28"/>
      <c r="AL104" s="28"/>
      <c r="AM104" s="28"/>
      <c r="AN104" s="28"/>
    </row>
    <row r="105" spans="2:40" x14ac:dyDescent="0.3"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28"/>
      <c r="AH105" s="28"/>
      <c r="AI105" s="28"/>
      <c r="AJ105" s="28"/>
      <c r="AK105" s="28"/>
      <c r="AL105" s="28"/>
      <c r="AM105" s="28"/>
      <c r="AN105" s="28"/>
    </row>
    <row r="106" spans="2:40" x14ac:dyDescent="0.3"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28"/>
      <c r="AH106" s="28"/>
      <c r="AI106" s="28"/>
      <c r="AJ106" s="28"/>
      <c r="AK106" s="28"/>
      <c r="AL106" s="28"/>
      <c r="AM106" s="28"/>
      <c r="AN106" s="28"/>
    </row>
    <row r="107" spans="2:40" x14ac:dyDescent="0.3"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28"/>
      <c r="AH107" s="28"/>
      <c r="AI107" s="28"/>
      <c r="AJ107" s="28"/>
      <c r="AK107" s="28"/>
      <c r="AL107" s="28"/>
      <c r="AM107" s="28"/>
      <c r="AN107" s="28"/>
    </row>
    <row r="108" spans="2:40" x14ac:dyDescent="0.3"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28"/>
      <c r="AH108" s="28"/>
      <c r="AI108" s="28"/>
      <c r="AJ108" s="28"/>
      <c r="AK108" s="28"/>
      <c r="AL108" s="28"/>
      <c r="AM108" s="28"/>
      <c r="AN108" s="28"/>
    </row>
    <row r="109" spans="2:40" x14ac:dyDescent="0.3"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28"/>
      <c r="AH109" s="28"/>
      <c r="AI109" s="28"/>
      <c r="AJ109" s="28"/>
      <c r="AK109" s="28"/>
      <c r="AL109" s="28"/>
      <c r="AM109" s="28"/>
      <c r="AN109" s="28"/>
    </row>
    <row r="110" spans="2:40" x14ac:dyDescent="0.3"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28"/>
      <c r="AH110" s="28"/>
      <c r="AI110" s="28"/>
      <c r="AJ110" s="28"/>
      <c r="AK110" s="28"/>
      <c r="AL110" s="28"/>
      <c r="AM110" s="28"/>
      <c r="AN110" s="28"/>
    </row>
    <row r="111" spans="2:40" x14ac:dyDescent="0.3"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28"/>
      <c r="AH111" s="28"/>
      <c r="AI111" s="28"/>
      <c r="AJ111" s="28"/>
      <c r="AK111" s="28"/>
      <c r="AL111" s="28"/>
      <c r="AM111" s="28"/>
      <c r="AN111" s="28"/>
    </row>
    <row r="112" spans="2:40" x14ac:dyDescent="0.3"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28"/>
      <c r="AH112" s="28"/>
      <c r="AI112" s="28"/>
      <c r="AJ112" s="28"/>
      <c r="AK112" s="28"/>
      <c r="AL112" s="28"/>
      <c r="AM112" s="28"/>
      <c r="AN112" s="28"/>
    </row>
    <row r="113" spans="2:40" x14ac:dyDescent="0.3"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28"/>
      <c r="AH113" s="28"/>
      <c r="AI113" s="28"/>
      <c r="AJ113" s="28"/>
      <c r="AK113" s="28"/>
      <c r="AL113" s="28"/>
      <c r="AM113" s="28"/>
      <c r="AN113" s="28"/>
    </row>
    <row r="114" spans="2:40" x14ac:dyDescent="0.3"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28"/>
      <c r="AH114" s="28"/>
      <c r="AI114" s="28"/>
      <c r="AJ114" s="28"/>
      <c r="AK114" s="28"/>
      <c r="AL114" s="28"/>
      <c r="AM114" s="28"/>
      <c r="AN114" s="28"/>
    </row>
    <row r="115" spans="2:40" x14ac:dyDescent="0.3"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28"/>
      <c r="AH115" s="28"/>
      <c r="AI115" s="28"/>
      <c r="AJ115" s="28"/>
      <c r="AK115" s="28"/>
      <c r="AL115" s="28"/>
      <c r="AM115" s="28"/>
      <c r="AN115" s="28"/>
    </row>
    <row r="116" spans="2:40" x14ac:dyDescent="0.3"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28"/>
      <c r="AH116" s="28"/>
      <c r="AI116" s="28"/>
      <c r="AJ116" s="28"/>
      <c r="AK116" s="28"/>
      <c r="AL116" s="28"/>
      <c r="AM116" s="28"/>
      <c r="AN116" s="28"/>
    </row>
    <row r="117" spans="2:40" x14ac:dyDescent="0.3"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28"/>
      <c r="AH117" s="28"/>
      <c r="AI117" s="28"/>
      <c r="AJ117" s="28"/>
      <c r="AK117" s="28"/>
      <c r="AL117" s="28"/>
      <c r="AM117" s="28"/>
      <c r="AN117" s="28"/>
    </row>
    <row r="118" spans="2:40" x14ac:dyDescent="0.3"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28"/>
      <c r="AH118" s="28"/>
      <c r="AI118" s="28"/>
      <c r="AJ118" s="28"/>
      <c r="AK118" s="28"/>
      <c r="AL118" s="28"/>
      <c r="AM118" s="28"/>
      <c r="AN118" s="28"/>
    </row>
    <row r="119" spans="2:40" x14ac:dyDescent="0.3"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28"/>
      <c r="AH119" s="28"/>
      <c r="AI119" s="28"/>
      <c r="AJ119" s="28"/>
      <c r="AK119" s="28"/>
      <c r="AL119" s="28"/>
      <c r="AM119" s="28"/>
      <c r="AN119" s="28"/>
    </row>
    <row r="120" spans="2:40" x14ac:dyDescent="0.3"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28"/>
      <c r="AH120" s="28"/>
      <c r="AI120" s="28"/>
      <c r="AJ120" s="28"/>
      <c r="AK120" s="28"/>
      <c r="AL120" s="28"/>
      <c r="AM120" s="28"/>
      <c r="AN120" s="28"/>
    </row>
    <row r="121" spans="2:40" x14ac:dyDescent="0.3"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28"/>
      <c r="AH121" s="28"/>
      <c r="AI121" s="28"/>
      <c r="AJ121" s="28"/>
      <c r="AK121" s="28"/>
      <c r="AL121" s="28"/>
      <c r="AM121" s="28"/>
      <c r="AN121" s="28"/>
    </row>
    <row r="122" spans="2:40" x14ac:dyDescent="0.3"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28"/>
      <c r="AH122" s="28"/>
      <c r="AI122" s="28"/>
      <c r="AJ122" s="28"/>
      <c r="AK122" s="28"/>
      <c r="AL122" s="28"/>
      <c r="AM122" s="28"/>
      <c r="AN122" s="28"/>
    </row>
    <row r="123" spans="2:40" x14ac:dyDescent="0.3"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28"/>
      <c r="AH123" s="28"/>
      <c r="AI123" s="28"/>
      <c r="AJ123" s="28"/>
      <c r="AK123" s="28"/>
      <c r="AL123" s="28"/>
      <c r="AM123" s="28"/>
      <c r="AN123" s="28"/>
    </row>
    <row r="124" spans="2:40" x14ac:dyDescent="0.3"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28"/>
      <c r="AH124" s="28"/>
      <c r="AI124" s="28"/>
      <c r="AJ124" s="28"/>
      <c r="AK124" s="28"/>
      <c r="AL124" s="28"/>
      <c r="AM124" s="28"/>
      <c r="AN124" s="28"/>
    </row>
    <row r="125" spans="2:40" x14ac:dyDescent="0.3"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28"/>
      <c r="AH125" s="28"/>
      <c r="AI125" s="28"/>
      <c r="AJ125" s="28"/>
      <c r="AK125" s="28"/>
      <c r="AL125" s="28"/>
      <c r="AM125" s="28"/>
      <c r="AN125" s="28"/>
    </row>
    <row r="126" spans="2:40" x14ac:dyDescent="0.3"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28"/>
      <c r="AH126" s="28"/>
      <c r="AI126" s="28"/>
      <c r="AJ126" s="28"/>
      <c r="AK126" s="28"/>
      <c r="AL126" s="28"/>
      <c r="AM126" s="28"/>
      <c r="AN126" s="28"/>
    </row>
    <row r="127" spans="2:40" x14ac:dyDescent="0.3"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28"/>
      <c r="AH127" s="28"/>
      <c r="AI127" s="28"/>
      <c r="AJ127" s="28"/>
      <c r="AK127" s="28"/>
      <c r="AL127" s="28"/>
      <c r="AM127" s="28"/>
      <c r="AN127" s="28"/>
    </row>
    <row r="128" spans="2:40" x14ac:dyDescent="0.3"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28"/>
      <c r="AH128" s="28"/>
      <c r="AI128" s="28"/>
      <c r="AJ128" s="28"/>
      <c r="AK128" s="28"/>
      <c r="AL128" s="28"/>
      <c r="AM128" s="28"/>
      <c r="AN128" s="28"/>
    </row>
    <row r="129" spans="2:40" x14ac:dyDescent="0.3"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28"/>
      <c r="AH129" s="28"/>
      <c r="AI129" s="28"/>
      <c r="AJ129" s="28"/>
      <c r="AK129" s="28"/>
      <c r="AL129" s="28"/>
      <c r="AM129" s="28"/>
      <c r="AN129" s="28"/>
    </row>
    <row r="130" spans="2:40" x14ac:dyDescent="0.3"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28"/>
      <c r="AH130" s="28"/>
      <c r="AI130" s="28"/>
      <c r="AJ130" s="28"/>
      <c r="AK130" s="28"/>
      <c r="AL130" s="28"/>
      <c r="AM130" s="28"/>
      <c r="AN130" s="28"/>
    </row>
    <row r="131" spans="2:40" x14ac:dyDescent="0.3"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28"/>
      <c r="AH131" s="28"/>
      <c r="AI131" s="28"/>
      <c r="AJ131" s="28"/>
      <c r="AK131" s="28"/>
      <c r="AL131" s="28"/>
      <c r="AM131" s="28"/>
      <c r="AN131" s="28"/>
    </row>
    <row r="132" spans="2:40" x14ac:dyDescent="0.3"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28"/>
      <c r="AH132" s="28"/>
      <c r="AI132" s="28"/>
      <c r="AJ132" s="28"/>
      <c r="AK132" s="28"/>
      <c r="AL132" s="28"/>
      <c r="AM132" s="28"/>
      <c r="AN132" s="28"/>
    </row>
    <row r="133" spans="2:40" x14ac:dyDescent="0.3"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28"/>
      <c r="AH133" s="28"/>
      <c r="AI133" s="28"/>
      <c r="AJ133" s="28"/>
      <c r="AK133" s="28"/>
      <c r="AL133" s="28"/>
      <c r="AM133" s="28"/>
      <c r="AN133" s="28"/>
    </row>
    <row r="134" spans="2:40" x14ac:dyDescent="0.3"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28"/>
      <c r="AH134" s="28"/>
      <c r="AI134" s="28"/>
      <c r="AJ134" s="28"/>
      <c r="AK134" s="28"/>
      <c r="AL134" s="28"/>
      <c r="AM134" s="28"/>
      <c r="AN134" s="28"/>
    </row>
    <row r="135" spans="2:40" x14ac:dyDescent="0.3"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28"/>
      <c r="AH135" s="28"/>
      <c r="AI135" s="28"/>
      <c r="AJ135" s="28"/>
      <c r="AK135" s="28"/>
      <c r="AL135" s="28"/>
      <c r="AM135" s="28"/>
      <c r="AN135" s="28"/>
    </row>
    <row r="136" spans="2:40" x14ac:dyDescent="0.3"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28"/>
      <c r="AH136" s="28"/>
      <c r="AI136" s="28"/>
      <c r="AJ136" s="28"/>
      <c r="AK136" s="28"/>
      <c r="AL136" s="28"/>
      <c r="AM136" s="28"/>
      <c r="AN136" s="28"/>
    </row>
    <row r="137" spans="2:40" x14ac:dyDescent="0.3"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28"/>
      <c r="AH137" s="28"/>
      <c r="AI137" s="28"/>
      <c r="AJ137" s="28"/>
      <c r="AK137" s="28"/>
      <c r="AL137" s="28"/>
      <c r="AM137" s="28"/>
      <c r="AN137" s="28"/>
    </row>
    <row r="138" spans="2:40" x14ac:dyDescent="0.3"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28"/>
      <c r="AH138" s="28"/>
      <c r="AI138" s="28"/>
      <c r="AJ138" s="28"/>
      <c r="AK138" s="28"/>
      <c r="AL138" s="28"/>
      <c r="AM138" s="28"/>
      <c r="AN138" s="28"/>
    </row>
    <row r="139" spans="2:40" x14ac:dyDescent="0.3"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28"/>
      <c r="AH139" s="28"/>
      <c r="AI139" s="28"/>
      <c r="AJ139" s="28"/>
      <c r="AK139" s="28"/>
      <c r="AL139" s="28"/>
      <c r="AM139" s="28"/>
      <c r="AN139" s="28"/>
    </row>
    <row r="140" spans="2:40" x14ac:dyDescent="0.3"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28"/>
      <c r="AH140" s="28"/>
      <c r="AI140" s="28"/>
      <c r="AJ140" s="28"/>
      <c r="AK140" s="28"/>
      <c r="AL140" s="28"/>
      <c r="AM140" s="28"/>
      <c r="AN140" s="28"/>
    </row>
    <row r="141" spans="2:40" x14ac:dyDescent="0.3"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28"/>
      <c r="AH141" s="28"/>
      <c r="AI141" s="28"/>
      <c r="AJ141" s="28"/>
      <c r="AK141" s="28"/>
      <c r="AL141" s="28"/>
      <c r="AM141" s="28"/>
      <c r="AN141" s="28"/>
    </row>
    <row r="142" spans="2:40" x14ac:dyDescent="0.3"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28"/>
      <c r="AH142" s="28"/>
      <c r="AI142" s="28"/>
      <c r="AJ142" s="28"/>
      <c r="AK142" s="28"/>
      <c r="AL142" s="28"/>
      <c r="AM142" s="28"/>
      <c r="AN142" s="28"/>
    </row>
    <row r="143" spans="2:40" x14ac:dyDescent="0.3"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28"/>
      <c r="AH143" s="28"/>
      <c r="AI143" s="28"/>
      <c r="AJ143" s="28"/>
      <c r="AK143" s="28"/>
      <c r="AL143" s="28"/>
      <c r="AM143" s="28"/>
      <c r="AN143" s="28"/>
    </row>
    <row r="144" spans="2:40" x14ac:dyDescent="0.3"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28"/>
      <c r="AH144" s="28"/>
      <c r="AI144" s="28"/>
      <c r="AJ144" s="28"/>
      <c r="AK144" s="28"/>
      <c r="AL144" s="28"/>
      <c r="AM144" s="28"/>
      <c r="AN144" s="28"/>
    </row>
    <row r="145" spans="2:40" x14ac:dyDescent="0.3"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28"/>
      <c r="AH145" s="28"/>
      <c r="AI145" s="28"/>
      <c r="AJ145" s="28"/>
      <c r="AK145" s="28"/>
      <c r="AL145" s="28"/>
      <c r="AM145" s="28"/>
      <c r="AN145" s="28"/>
    </row>
    <row r="146" spans="2:40" x14ac:dyDescent="0.3"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28"/>
      <c r="AH146" s="28"/>
      <c r="AI146" s="28"/>
      <c r="AJ146" s="28"/>
      <c r="AK146" s="28"/>
      <c r="AL146" s="28"/>
      <c r="AM146" s="28"/>
      <c r="AN146" s="28"/>
    </row>
    <row r="147" spans="2:40" x14ac:dyDescent="0.3"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28"/>
      <c r="AH147" s="28"/>
      <c r="AI147" s="28"/>
      <c r="AJ147" s="28"/>
      <c r="AK147" s="28"/>
      <c r="AL147" s="28"/>
      <c r="AM147" s="28"/>
      <c r="AN147" s="28"/>
    </row>
    <row r="148" spans="2:40" x14ac:dyDescent="0.3"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28"/>
      <c r="AH148" s="28"/>
      <c r="AI148" s="28"/>
      <c r="AJ148" s="28"/>
      <c r="AK148" s="28"/>
      <c r="AL148" s="28"/>
      <c r="AM148" s="28"/>
      <c r="AN148" s="28"/>
    </row>
    <row r="149" spans="2:40" x14ac:dyDescent="0.3"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28"/>
      <c r="AH149" s="28"/>
      <c r="AI149" s="28"/>
      <c r="AJ149" s="28"/>
      <c r="AK149" s="28"/>
      <c r="AL149" s="28"/>
      <c r="AM149" s="28"/>
      <c r="AN149" s="28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EF1D7-1201-4027-B948-C85358FA7D88}">
  <sheetPr codeName="Planilha5" filterMode="1"/>
  <dimension ref="A1:C3"/>
  <sheetViews>
    <sheetView workbookViewId="0">
      <selection activeCell="D9" sqref="D9"/>
    </sheetView>
  </sheetViews>
  <sheetFormatPr defaultRowHeight="14.4" x14ac:dyDescent="0.3"/>
  <sheetData>
    <row r="1" spans="1:3" x14ac:dyDescent="0.3">
      <c r="A1" t="s">
        <v>636</v>
      </c>
      <c r="B1" t="s">
        <v>637</v>
      </c>
      <c r="C1" t="s">
        <v>638</v>
      </c>
    </row>
    <row r="2" spans="1:3" x14ac:dyDescent="0.3">
      <c r="A2" t="s">
        <v>641</v>
      </c>
      <c r="B2">
        <v>1234</v>
      </c>
      <c r="C2" t="s">
        <v>640</v>
      </c>
    </row>
    <row r="3" spans="1:3" hidden="1" x14ac:dyDescent="0.3">
      <c r="A3" t="s">
        <v>639</v>
      </c>
      <c r="B3">
        <v>1234</v>
      </c>
      <c r="C3" t="s">
        <v>640</v>
      </c>
    </row>
  </sheetData>
  <autoFilter ref="A1:C3" xr:uid="{33BEF1D7-1201-4027-B948-C85358FA7D88}">
    <filterColumn colId="0">
      <filters>
        <filter val="JOSUE"/>
      </filters>
    </filterColumn>
    <filterColumn colId="1">
      <filters>
        <filter val="1234"/>
      </filters>
    </filterColumn>
  </autoFilter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C48BDF-CE68-487C-9BD8-80082D1035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Menu</vt:lpstr>
      <vt:lpstr>Assets</vt:lpstr>
      <vt:lpstr>Bases_tbl_xbox</vt:lpstr>
      <vt:lpstr>Calculos</vt:lpstr>
      <vt:lpstr>Dashboard</vt:lpstr>
      <vt:lpstr>Senha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Mauricio</dc:creator>
  <cp:lastModifiedBy>Josue David John Mauricio Astuhuaman</cp:lastModifiedBy>
  <dcterms:created xsi:type="dcterms:W3CDTF">2015-06-05T18:17:20Z</dcterms:created>
  <dcterms:modified xsi:type="dcterms:W3CDTF">2026-09-09T18:35:44Z</dcterms:modified>
</cp:coreProperties>
</file>